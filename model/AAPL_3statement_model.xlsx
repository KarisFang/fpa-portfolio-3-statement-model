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 Statement" sheetId="5" state="visible" r:id="rId7"/>
    <sheet name="Scenario Analysis" sheetId="6" state="visible" r:id="rId8"/>
    <sheet name="Sensitivity Tab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Source: Apple FY2023 10-K, Consolidated Statements of Operations, SEC EDGAR</t>
        </r>
      </text>
    </comment>
    <comment ref="B14" authorId="0">
      <text>
        <r>
          <rPr>
            <sz val="10"/>
            <rFont val="Arial"/>
            <family val="2"/>
          </rPr>
          <t xml:space="preserve">Note: row 13 (Total COGS) for forecast years is back-solved as Net Sales - Gross Margin (driven by Assumptions GM% input)</t>
        </r>
      </text>
    </comment>
    <comment ref="D6" authorId="0">
      <text>
        <r>
          <rPr>
            <sz val="10"/>
            <rFont val="Arial"/>
            <family val="2"/>
          </rPr>
          <t xml:space="preserve">Source: Apple FY2025 Form 10-K / Q4 FY25 8-K Ex-99.1, filed 10/30/2025, SEC EDGAR</t>
        </r>
      </text>
    </comment>
    <comment ref="E8" authorId="0">
      <text>
        <r>
          <rPr>
            <sz val="10"/>
            <rFont val="Arial"/>
            <family val="2"/>
          </rPr>
          <t xml:space="preserve">Formula: Prior year Net Sales x (1 + Active Revenue Growth % from Assumptions tab)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Source: Apple FY2023 10-K, Consolidated Balance Sheets, SEC EDGAR</t>
        </r>
      </text>
    </comment>
    <comment ref="B37" authorId="0">
      <text>
        <r>
          <rPr>
            <sz val="10"/>
            <rFont val="Arial"/>
            <family val="2"/>
          </rPr>
          <t xml:space="preserve">FY23A/24A equity = Common stock &amp; APIC + Accumulated deficit + AOCI per 10-K; forecast years roll forward as a single equity balance (see write-up)</t>
        </r>
      </text>
    </comment>
    <comment ref="B40" authorId="0">
      <text>
        <r>
          <rPr>
            <sz val="10"/>
            <rFont val="Arial"/>
            <family val="2"/>
          </rPr>
          <t xml:space="preserve">Should equal zero in every period. Confirms the three statements are fully integrated.</t>
        </r>
      </text>
    </comment>
    <comment ref="D7" authorId="0">
      <text>
        <r>
          <rPr>
            <sz val="10"/>
            <rFont val="Arial"/>
            <family val="2"/>
          </rPr>
          <t xml:space="preserve">Source: Apple FY2025 Q4 8-K Ex-99.1, Condensed Consolidated Balance Sheets, filed 10/30/2025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Source: Apple FY2023 10-K, Consolidated Statements of Cash Flows, SEC EDGAR</t>
        </r>
      </text>
    </comment>
    <comment ref="D6" authorId="0">
      <text>
        <r>
          <rPr>
            <sz val="10"/>
            <rFont val="Arial"/>
            <family val="2"/>
          </rPr>
          <t xml:space="preserve">Source: Apple FY2025 Q4 8-K Ex-99.1, Condensed Consolidated Statements of Cash Flows, filed 10/30/2025</t>
        </r>
      </text>
    </comment>
    <comment ref="E29" authorId="0">
      <text>
        <r>
          <rPr>
            <sz val="10"/>
            <rFont val="Arial"/>
            <family val="2"/>
          </rPr>
          <t xml:space="preserve">Forecast buybacks = Buyback Payout Ratio (Assumptions) x Free Cash Flow (CFO + Investing, i.e. CFO - Capex)</t>
        </r>
      </text>
    </comment>
  </commentList>
</comments>
</file>

<file path=xl/sharedStrings.xml><?xml version="1.0" encoding="utf-8"?>
<sst xmlns="http://schemas.openxmlformats.org/spreadsheetml/2006/main" count="218" uniqueCount="180">
  <si>
    <t xml:space="preserve">Apple Inc. (AAPL) — 3-Statement Financial Model &amp; Forecast</t>
  </si>
  <si>
    <t xml:space="preserve">Built on real FY2023–FY2025 SEC filings (10-K / 8-K) | Forecast: FY2026E–FY2028E</t>
  </si>
  <si>
    <t xml:space="preserve">PURPOSE</t>
  </si>
  <si>
    <t xml:space="preserve">This model replicates the core day-to-day deliverable of an FP&amp;A analyst: a fully-linked three-statement</t>
  </si>
  <si>
    <t xml:space="preserve">model (Income Statement, Balance Sheet, Cash Flow Statement) built from a public company's actual</t>
  </si>
  <si>
    <t xml:space="preserve">financial filings, with a driver-based forecast and a built-in 'what if revenue drops 10%' scenario test.</t>
  </si>
  <si>
    <t xml:space="preserve">HOW THIS MODEL IS BUILT</t>
  </si>
  <si>
    <t xml:space="preserve">- FY2023A-FY2025A columns are HARD-CODED ACTUALS sourced directly from Apple's 10-K and 8-K filings on</t>
  </si>
  <si>
    <t xml:space="preserve">  SEC EDGAR (cell comments show the exact source). Blue font = hardcoded input.</t>
  </si>
  <si>
    <t xml:space="preserve">- FY2026E-FY2028E columns are 100% FORMULA-DRIVEN from the Assumptions tab. Change any blue assumption</t>
  </si>
  <si>
    <t xml:space="preserve">  cell and the entire model (IS, BS, CFS, EPS) recalculates automatically.</t>
  </si>
  <si>
    <t xml:space="preserve">- The Balance Sheet includes a 'Balance Check' row that must equal zero in every period — this confirms</t>
  </si>
  <si>
    <t xml:space="preserve">  the three statements are properly integrated (Cash from the CFS flows into the BS; Net Income flows</t>
  </si>
  <si>
    <t xml:space="preserve">  through Retained Earnings/Equity; every working-capital account that changes on the BS is captured as</t>
  </si>
  <si>
    <t xml:space="preserve">  a change in the CFS). This is the single most important integrity check in any 3-statement model.</t>
  </si>
  <si>
    <t xml:space="preserve">TABS IN THIS WORKBOOK</t>
  </si>
  <si>
    <t xml:space="preserve">1. Assumptions          - All forecast drivers in one place, plus a scenario selector (dropdown)</t>
  </si>
  <si>
    <t xml:space="preserve">2. Income Statement     - Net sales, COGS, opex, net income, diluted EPS (FY23A-FY28E)</t>
  </si>
  <si>
    <t xml:space="preserve">3. Balance Sheet        - Full balance sheet with balance check</t>
  </si>
  <si>
    <t xml:space="preserve">4. Cash Flow Statement  - Operating / investing / financing activities, ending cash ties to BS</t>
  </si>
  <si>
    <t xml:space="preserve">5. Scenario Analysis    - Base Case vs. 'Revenue -10%' Bear Case vs. Bull Case, side by side</t>
  </si>
  <si>
    <t xml:space="preserve">6. Sensitivity Table    - 2-way data table: Net Income &amp; Free Cash Flow vs. Revenue Growth x Gross Margin</t>
  </si>
  <si>
    <t xml:space="preserve">KEY MODELING ASSUMPTIONS (see Assumptions tab for full detail and rationale)</t>
  </si>
  <si>
    <t xml:space="preserve">- Revenue growth, gross margin, R&amp;D%, SG&amp;A% and tax rate are explicit blue-input assumptions by year.</t>
  </si>
  <si>
    <t xml:space="preserve">- Working capital (AR, Inventory, AP) is forecast using Days Sales/Inventory/Payable Outstanding, not</t>
  </si>
  <si>
    <t xml:space="preserve">  flat percentages — this is how real FP&amp;A working-capital models are built.</t>
  </si>
  <si>
    <t xml:space="preserve">- Marketable securities and total debt are held flat in the forecast (no new issuance assumed) to keep</t>
  </si>
  <si>
    <t xml:space="preserve">  the model's first version focused on the operating business; this is explicitly called out as a</t>
  </si>
  <si>
    <t xml:space="preserve">  simplification in the Assumptions tab and the project write-up.</t>
  </si>
  <si>
    <t xml:space="preserve">- Share buybacks are modeled as a payout ratio of Free Cash Flow, and diluted share count declines</t>
  </si>
  <si>
    <t xml:space="preserve">  accordingly, flowing through to diluted EPS — linking capital allocation directly to per-share value.</t>
  </si>
  <si>
    <t xml:space="preserve">HOW TO USE THE SCENARIO TOGGLE</t>
  </si>
  <si>
    <t xml:space="preserve">Go to the Assumptions tab, cell B3, and pick 'Base', 'Bear (-10% Rev Shock)', or 'Bull (Upside)' from</t>
  </si>
  <si>
    <t xml:space="preserve">the dropdown. Every forecast number in the workbook (IS, BS, CFS, EPS) updates instantly.</t>
  </si>
  <si>
    <t xml:space="preserve">DATA SOURCES</t>
  </si>
  <si>
    <t xml:space="preserve">- Apple Inc. FY2025 Form 10-K (filed 2025), SEC EDGAR, accession 0000320193-25-000079</t>
  </si>
  <si>
    <t xml:space="preserve">- Apple Inc. FY2025 Q4 8-K Exhibit 99.1 (earnings release), filed 10/30/2025</t>
  </si>
  <si>
    <t xml:space="preserve">- Apple Inc. FY2023 Form 10-K, SEC EDGAR, accession 0000320193-23-000106</t>
  </si>
  <si>
    <t xml:space="preserve">- Apple Inc. FY2023 Q4 8-K Exhibit 99.1 (earnings release), filed 11/2/2023</t>
  </si>
  <si>
    <t xml:space="preserve">Author: Karis Fang  |  Portfolio project for FP&amp;A roles  |  github.com/karisfang</t>
  </si>
  <si>
    <t xml:space="preserve">Key Assumptions &amp; Scenario Selector</t>
  </si>
  <si>
    <t xml:space="preserve">Blue = hardcoded input you can change. Everything downstream recalculates automatically.</t>
  </si>
  <si>
    <t xml:space="preserve">Scenario Selector</t>
  </si>
  <si>
    <t xml:space="preserve">Base</t>
  </si>
  <si>
    <t xml:space="preserve">&lt;- choose scenario here</t>
  </si>
  <si>
    <t xml:space="preserve">REVENUE GROWTH ASSUMPTIONS (by scenario)</t>
  </si>
  <si>
    <t xml:space="preserve">FY2026E</t>
  </si>
  <si>
    <t xml:space="preserve">FY2027E</t>
  </si>
  <si>
    <t xml:space="preserve">FY2028E</t>
  </si>
  <si>
    <t xml:space="preserve">Base Case Revenue Growth %</t>
  </si>
  <si>
    <t xml:space="preserve">Bear Case Growth % (FY26E shock; FY27E/28E recover to Base)</t>
  </si>
  <si>
    <t xml:space="preserve">Bull Case Growth % (FY26E upside; FY27E/28E = Base)</t>
  </si>
  <si>
    <t xml:space="preserve">Active Revenue Growth % (driven by Scenario Selector)</t>
  </si>
  <si>
    <t xml:space="preserve">MARGIN &amp; OPERATING EXPENSE ASSUMPTIONS</t>
  </si>
  <si>
    <t xml:space="preserve">Gross Margin %</t>
  </si>
  <si>
    <t xml:space="preserve">R&amp;D % of Net Sales</t>
  </si>
  <si>
    <t xml:space="preserve">SG&amp;A % of Net Sales</t>
  </si>
  <si>
    <t xml:space="preserve">Other Income/(Expense) % of Net Sales</t>
  </si>
  <si>
    <t xml:space="preserve">Effective Tax Rate %</t>
  </si>
  <si>
    <t xml:space="preserve">FY24A rate (24.1%) excludes one-time EU State Aid tax charge; FY23A/FY25A ~15-16% used as normalized basis</t>
  </si>
  <si>
    <t xml:space="preserve">WORKING CAPITAL &amp; BALANCE SHEET DRIVERS (fixed across forecast &amp; scenarios)</t>
  </si>
  <si>
    <t xml:space="preserve">Days Sales Outstanding - Accounts Receivable</t>
  </si>
  <si>
    <t xml:space="preserve">Days Inventory Outstanding</t>
  </si>
  <si>
    <t xml:space="preserve">Days Payable Outstanding - Accounts Payable</t>
  </si>
  <si>
    <t xml:space="preserve">Vendor Non-Trade Receivables % of Net Sales</t>
  </si>
  <si>
    <t xml:space="preserve">Other Current Assets % of Net Sales</t>
  </si>
  <si>
    <t xml:space="preserve">Other Non-Current Assets % of Net Sales</t>
  </si>
  <si>
    <t xml:space="preserve">Other Current Liabilities % of Net Sales</t>
  </si>
  <si>
    <t xml:space="preserve">Deferred Revenue % of Net Sales</t>
  </si>
  <si>
    <t xml:space="preserve">Other Non-Current Liabilities % of Net Sales</t>
  </si>
  <si>
    <t xml:space="preserve">CAPEX, D&amp;A &amp; CAPITAL RETURN ASSUMPTIONS</t>
  </si>
  <si>
    <t xml:space="preserve">Capex % of Net Sales</t>
  </si>
  <si>
    <t xml:space="preserve">D&amp;A % of Net Sales</t>
  </si>
  <si>
    <t xml:space="preserve">Stock-Based Compensation % of Net Sales</t>
  </si>
  <si>
    <t xml:space="preserve">Tax Withholding on Equity Awards (% of SBC)</t>
  </si>
  <si>
    <t xml:space="preserve">Dividend Growth Rate % (YoY)</t>
  </si>
  <si>
    <t xml:space="preserve">Buyback Payout Ratio (% of Free Cash Flow)</t>
  </si>
  <si>
    <t xml:space="preserve">Average Share Price Assumption ($, for buyback share count)</t>
  </si>
  <si>
    <t xml:space="preserve">Apple Inc. — Consolidated Income Statement ($ in millions, except per-share)</t>
  </si>
  <si>
    <t xml:space="preserve">FY2023A-FY2025A: actuals from 10-K/8-K filings | FY2026E-FY2028E: driven by Assumptions tab</t>
  </si>
  <si>
    <t xml:space="preserve">FY2023A</t>
  </si>
  <si>
    <t xml:space="preserve">FY2024A</t>
  </si>
  <si>
    <t xml:space="preserve">FY2025A</t>
  </si>
  <si>
    <t xml:space="preserve">Net Sales:</t>
  </si>
  <si>
    <t xml:space="preserve">Products</t>
  </si>
  <si>
    <t xml:space="preserve">Services</t>
  </si>
  <si>
    <t xml:space="preserve">Total Net Sales</t>
  </si>
  <si>
    <t xml:space="preserve">Cost of Sales:</t>
  </si>
  <si>
    <t xml:space="preserve">Total Cost of Sales</t>
  </si>
  <si>
    <t xml:space="preserve">Gross Margin</t>
  </si>
  <si>
    <t xml:space="preserve">Operating Expenses:</t>
  </si>
  <si>
    <t xml:space="preserve">Research and Development</t>
  </si>
  <si>
    <t xml:space="preserve">Selling, General and Administrative</t>
  </si>
  <si>
    <t xml:space="preserve">Total Operating Expenses</t>
  </si>
  <si>
    <t xml:space="preserve">Operating Income</t>
  </si>
  <si>
    <t xml:space="preserve">Operating Margin %</t>
  </si>
  <si>
    <t xml:space="preserve">Other Income/(Expense), net</t>
  </si>
  <si>
    <t xml:space="preserve">Income Before Provision for Income Taxes</t>
  </si>
  <si>
    <t xml:space="preserve">Provision for Income Taxes</t>
  </si>
  <si>
    <t xml:space="preserve">Net Income</t>
  </si>
  <si>
    <t xml:space="preserve">Net Margin %</t>
  </si>
  <si>
    <t xml:space="preserve">Diluted Shares Outstanding (000s)</t>
  </si>
  <si>
    <t xml:space="preserve">Diluted EPS</t>
  </si>
  <si>
    <t xml:space="preserve">Apple Inc. — Consolidated Balance Sheet ($ in millions)</t>
  </si>
  <si>
    <t xml:space="preserve">ASSETS</t>
  </si>
  <si>
    <t xml:space="preserve">Current Assets:</t>
  </si>
  <si>
    <t xml:space="preserve">Cash and Cash Equivalents</t>
  </si>
  <si>
    <t xml:space="preserve">Marketable Securities (Current)</t>
  </si>
  <si>
    <t xml:space="preserve">Accounts Receivable, net</t>
  </si>
  <si>
    <t xml:space="preserve">Vendor Non-Trade Receivables</t>
  </si>
  <si>
    <t xml:space="preserve">Inventories</t>
  </si>
  <si>
    <t xml:space="preserve">Other Current Assets</t>
  </si>
  <si>
    <t xml:space="preserve">Total Current Assets</t>
  </si>
  <si>
    <t xml:space="preserve">Non-Current Assets:</t>
  </si>
  <si>
    <t xml:space="preserve">Marketable Securities (Non-Current)</t>
  </si>
  <si>
    <t xml:space="preserve">Property, Plant and Equipment, net</t>
  </si>
  <si>
    <t xml:space="preserve">Other Non-Current Assets</t>
  </si>
  <si>
    <t xml:space="preserve">Total Non-Current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</si>
  <si>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</si>
  <si>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</si>
  <si>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</si>
  <si>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</si>
  <si>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Other Current Liabilities</t>
  </si>
  <si>
    <t xml:space="preserve">Deferred Revenue</t>
  </si>
  <si>
    <t xml:space="preserve">Commercial Paper</t>
  </si>
  <si>
    <t xml:space="preserve">Term Debt (Current Portion)</t>
  </si>
  <si>
    <t xml:space="preserve">Total Current Liabilities</t>
  </si>
  <si>
    <t xml:space="preserve">Non-Current Liabilities:</t>
  </si>
  <si>
    <t xml:space="preserve">Term Debt (Non-Current)</t>
  </si>
  <si>
    <t xml:space="preserve">Other Non-Current Liabilities</t>
  </si>
  <si>
    <t xml:space="preserve">Total Non-Current Liabilities</t>
  </si>
  <si>
    <t xml:space="preserve">TOTAL LIABILITIES</t>
  </si>
  <si>
    <t xml:space="preserve">Total Shareholders' Equity</t>
  </si>
  <si>
    <t xml:space="preserve">TOTAL LIABILITIES AND SHAREHOLDERS' EQUITY</t>
  </si>
  <si>
    <t xml:space="preserve">Balance Check (Total Assets - Total Liab. &amp; Equity)</t>
  </si>
  <si>
    <t xml:space="preserve">Apple Inc. — Consolidated Statement of Cash Flows ($ in millions)</t>
  </si>
  <si>
    <t xml:space="preserve">Operating Activities:</t>
  </si>
  <si>
    <t xml:space="preserve">Depreciation and Amortization</t>
  </si>
  <si>
    <t xml:space="preserve">Share-Based Compensation Expense</t>
  </si>
  <si>
    <t xml:space="preserve">Other (non-cash)</t>
  </si>
  <si>
    <t xml:space="preserve">Changes in operating assets and liabilities:</t>
  </si>
  <si>
    <t xml:space="preserve">Other Current and Non-Current Assets</t>
  </si>
  <si>
    <t xml:space="preserve">Other Current and Non-Current Liabilities</t>
  </si>
  <si>
    <t xml:space="preserve">Cash Generated by Operating Activities</t>
  </si>
  <si>
    <t xml:space="preserve">Investing Activities:</t>
  </si>
  <si>
    <t xml:space="preserve">Purchases of Marketable Securities</t>
  </si>
  <si>
    <t xml:space="preserve">Proceeds from Maturities/Sales of Marketable Securities</t>
  </si>
  <si>
    <t xml:space="preserve">Other Investing</t>
  </si>
  <si>
    <t xml:space="preserve">Payments for Acquisition of Property, Plant &amp; Equipment (Capex)</t>
  </si>
  <si>
    <t xml:space="preserve">Cash Generated by/(Used in) Investing Activities</t>
  </si>
  <si>
    <t xml:space="preserve">Financing Activities:</t>
  </si>
  <si>
    <t xml:space="preserve">Payments for Taxes on Net Share Settlement of Equity Awards</t>
  </si>
  <si>
    <t xml:space="preserve">Payments for Dividends and Dividend Equivalents</t>
  </si>
  <si>
    <t xml:space="preserve">Repurchases of Common Stock</t>
  </si>
  <si>
    <t xml:space="preserve">Debt Issuance/(Repayment) and Commercial Paper, net</t>
  </si>
  <si>
    <t xml:space="preserve">Other Financing</t>
  </si>
  <si>
    <t xml:space="preserve">Cash Used in Financing Activities</t>
  </si>
  <si>
    <t xml:space="preserve">Net Increase/(Decrease) in Cash</t>
  </si>
  <si>
    <t xml:space="preserve">Cash, Beginning of Period</t>
  </si>
  <si>
    <t xml:space="preserve">Cash, End of Period</t>
  </si>
  <si>
    <t xml:space="preserve">Note: ending cash here includes restricted cash equivalents per GAAP CFS presentation; ties to BS Cash line via the change in row 34.</t>
  </si>
  <si>
    <t xml:space="preserve">Scenario Analysis — 'What If Revenue Drops 10%?'</t>
  </si>
  <si>
    <t xml:space="preserve">Live comparison: Base Case vs. Bear Case (-10% FY26E revenue shock) vs. Bull Case (+12% FY26E)</t>
  </si>
  <si>
    <t xml:space="preserve">Current Assumptions tab scenario selector is set to:</t>
  </si>
  <si>
    <t xml:space="preserve">FY2026E Revenue Growth Rate Applied</t>
  </si>
  <si>
    <t xml:space="preserve">Bear (-10% Rev Shock)</t>
  </si>
  <si>
    <t xml:space="preserve">Bull (Upside)</t>
  </si>
  <si>
    <t xml:space="preserve">FY2026E Income Statement Under Each Scenario</t>
  </si>
  <si>
    <t xml:space="preserve">Net Sales</t>
  </si>
  <si>
    <t xml:space="preserve">Other Income/(Expense)</t>
  </si>
  <si>
    <t xml:space="preserve">Income Before Taxes</t>
  </si>
  <si>
    <t xml:space="preserve">  Net Income vs. Base ($)</t>
  </si>
  <si>
    <t xml:space="preserve">  Net Income vs. Base (%)</t>
  </si>
  <si>
    <t xml:space="preserve">Takeaway: a 10-percentage-point revenue growth shock in FY26E (from +8% Base to -10% Bear) compresses FY26E Net Income by the figure shown above — operating expenses don't flex down with revenue in the short run (R&amp;D/SG&amp;A are modeled as % of revenue here, but in reality much of this is fixed in the near term), so margin compression amplifies the revenue hit to the bottom line.</t>
  </si>
  <si>
    <t xml:space="preserve">FY2026E Sensitivity Analysis — Net Income &amp; Free Cash Flow</t>
  </si>
  <si>
    <t xml:space="preserve">2-way grid: Revenue Growth % (rows) x Gross Margin % (columns). All other assumptions held at Base Case.</t>
  </si>
  <si>
    <t xml:space="preserve">Net Income ($mm)</t>
  </si>
  <si>
    <t xml:space="preserve">Revenue Growth % \ Gross Margin %</t>
  </si>
  <si>
    <t xml:space="preserve">Free Cash Flow ($mm) = Cash from Operations - Capex</t>
  </si>
  <si>
    <t xml:space="preserve">Base Case (8% growth / 47.2% margin) is highlighted by its row/column position above. Bear Case (-10% growth) sits in the top-left of the grid; note how Net Income and FCF compress faster than revenue does, since opex is modeled as % of revenue but a real company carries fixed costs that wouldn't flex down as quickly in an actual downturn.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</si>
</sst>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0.0"/>
    <numFmt numFmtId="167" formatCode="\$#,##0.00"/>
    <numFmt numFmtId="168" formatCode="\$#,##0;&quot;($&quot;#,##0\);\-"/>
    <numFmt numFmtId="169" formatCode="#,##0;\(#,##0\);\-"/>
    <numFmt numFmtId="170" formatCode="\$#,##0.00;&quot;($&quot;#,##0.00\)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0"/>
      <name val="Arial"/>
      <family val="2"/>
    </font>
    <font>
      <b val="true"/>
      <sz val="11"/>
      <color rgb="FFC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1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3" t="s">
        <v>30</v>
      </c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4" t="s">
        <v>31</v>
      </c>
    </row>
    <row r="39" customFormat="false" ht="15" hidden="false" customHeight="false" outlineLevel="0" collapsed="false">
      <c r="A39" s="3" t="s">
        <v>32</v>
      </c>
    </row>
    <row r="40" customFormat="false" ht="15" hidden="false" customHeight="false" outlineLevel="0" collapsed="false">
      <c r="A40" s="3" t="s">
        <v>33</v>
      </c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4" t="s">
        <v>34</v>
      </c>
    </row>
    <row r="43" customFormat="false" ht="15" hidden="false" customHeight="false" outlineLevel="0" collapsed="false">
      <c r="A43" s="3" t="s">
        <v>35</v>
      </c>
    </row>
    <row r="44" customFormat="false" ht="15" hidden="false" customHeight="false" outlineLevel="0" collapsed="false">
      <c r="A44" s="3" t="s">
        <v>36</v>
      </c>
    </row>
    <row r="45" customFormat="false" ht="15" hidden="false" customHeight="false" outlineLevel="0" collapsed="false">
      <c r="A45" s="3" t="s">
        <v>37</v>
      </c>
    </row>
    <row r="46" customFormat="false" ht="15" hidden="false" customHeight="false" outlineLevel="0" collapsed="false">
      <c r="A46" s="3" t="s">
        <v>38</v>
      </c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3" t="s">
        <v>39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3"/>
    <col collapsed="false" customWidth="true" hidden="false" outlineLevel="0" max="8" min="8" style="0" width="55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4" t="s">
        <v>42</v>
      </c>
      <c r="B4" s="5" t="s">
        <v>43</v>
      </c>
      <c r="C4" s="6" t="s">
        <v>44</v>
      </c>
    </row>
    <row r="6" customFormat="false" ht="15" hidden="false" customHeight="false" outlineLevel="0" collapsed="false">
      <c r="A6" s="7" t="s">
        <v>45</v>
      </c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4"/>
      <c r="E7" s="9" t="s">
        <v>46</v>
      </c>
      <c r="F7" s="9" t="s">
        <v>47</v>
      </c>
      <c r="G7" s="9" t="s">
        <v>48</v>
      </c>
    </row>
    <row r="8" customFormat="false" ht="15" hidden="false" customHeight="false" outlineLevel="0" collapsed="false">
      <c r="A8" s="10" t="s">
        <v>49</v>
      </c>
      <c r="E8" s="11" t="n">
        <v>0.08</v>
      </c>
      <c r="F8" s="11" t="n">
        <v>0.07</v>
      </c>
      <c r="G8" s="11" t="n">
        <v>0.07</v>
      </c>
    </row>
    <row r="9" customFormat="false" ht="15" hidden="false" customHeight="false" outlineLevel="0" collapsed="false">
      <c r="A9" s="10" t="s">
        <v>50</v>
      </c>
      <c r="E9" s="11" t="n">
        <v>-0.1</v>
      </c>
    </row>
    <row r="10" customFormat="false" ht="15" hidden="false" customHeight="false" outlineLevel="0" collapsed="false">
      <c r="A10" s="10" t="s">
        <v>51</v>
      </c>
      <c r="E10" s="11" t="n">
        <v>0.12</v>
      </c>
    </row>
    <row r="11" customFormat="false" ht="15" hidden="false" customHeight="false" outlineLevel="0" collapsed="false">
      <c r="A11" s="12" t="s">
        <v>52</v>
      </c>
      <c r="E11" s="13" t="n">
        <f aca="false">IF($B$4="Bear (-10% Rev Shock)",$E$9,IF($B$4="Bull (Upside)",$E$10,$E$8))</f>
        <v>0.08</v>
      </c>
      <c r="F11" s="13" t="n">
        <f aca="false">$F$8</f>
        <v>0.07</v>
      </c>
      <c r="G11" s="13" t="n">
        <f aca="false">$G$8</f>
        <v>0.07</v>
      </c>
    </row>
    <row r="13" customFormat="false" ht="15" hidden="false" customHeight="false" outlineLevel="0" collapsed="false">
      <c r="A13" s="7" t="s">
        <v>53</v>
      </c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4"/>
      <c r="E14" s="9" t="s">
        <v>46</v>
      </c>
      <c r="F14" s="9" t="s">
        <v>47</v>
      </c>
      <c r="G14" s="9" t="s">
        <v>48</v>
      </c>
    </row>
    <row r="15" customFormat="false" ht="15" hidden="false" customHeight="false" outlineLevel="0" collapsed="false">
      <c r="A15" s="10" t="s">
        <v>54</v>
      </c>
      <c r="E15" s="11" t="n">
        <v>0.472</v>
      </c>
      <c r="F15" s="11" t="n">
        <v>0.475</v>
      </c>
      <c r="G15" s="11" t="n">
        <v>0.477</v>
      </c>
    </row>
    <row r="16" customFormat="false" ht="15" hidden="false" customHeight="false" outlineLevel="0" collapsed="false">
      <c r="A16" s="10" t="s">
        <v>55</v>
      </c>
      <c r="E16" s="11" t="n">
        <v>0.082</v>
      </c>
      <c r="F16" s="11" t="n">
        <v>0.082</v>
      </c>
      <c r="G16" s="11" t="n">
        <v>0.082</v>
      </c>
    </row>
    <row r="17" customFormat="false" ht="15" hidden="false" customHeight="false" outlineLevel="0" collapsed="false">
      <c r="A17" s="10" t="s">
        <v>56</v>
      </c>
      <c r="E17" s="11" t="n">
        <v>0.066</v>
      </c>
      <c r="F17" s="11" t="n">
        <v>0.066</v>
      </c>
      <c r="G17" s="11" t="n">
        <v>0.066</v>
      </c>
    </row>
    <row r="18" customFormat="false" ht="15" hidden="false" customHeight="false" outlineLevel="0" collapsed="false">
      <c r="A18" s="10" t="s">
        <v>57</v>
      </c>
      <c r="E18" s="11" t="n">
        <v>-0.001</v>
      </c>
      <c r="F18" s="11" t="n">
        <v>-0.001</v>
      </c>
      <c r="G18" s="11" t="n">
        <v>-0.001</v>
      </c>
    </row>
    <row r="19" customFormat="false" ht="15" hidden="false" customHeight="false" outlineLevel="0" collapsed="false">
      <c r="A19" s="10" t="s">
        <v>58</v>
      </c>
      <c r="E19" s="11" t="n">
        <v>0.16</v>
      </c>
      <c r="F19" s="11" t="n">
        <v>0.16</v>
      </c>
      <c r="G19" s="11" t="n">
        <v>0.16</v>
      </c>
      <c r="H19" s="6" t="s">
        <v>59</v>
      </c>
    </row>
    <row r="21" customFormat="false" ht="15" hidden="false" customHeight="false" outlineLevel="0" collapsed="false">
      <c r="A21" s="7" t="s">
        <v>60</v>
      </c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10" t="s">
        <v>61</v>
      </c>
      <c r="B22" s="14" t="n">
        <v>33</v>
      </c>
    </row>
    <row r="23" customFormat="false" ht="15" hidden="false" customHeight="false" outlineLevel="0" collapsed="false">
      <c r="A23" s="10" t="s">
        <v>62</v>
      </c>
      <c r="B23" s="14" t="n">
        <v>9</v>
      </c>
    </row>
    <row r="24" customFormat="false" ht="15" hidden="false" customHeight="false" outlineLevel="0" collapsed="false">
      <c r="A24" s="10" t="s">
        <v>63</v>
      </c>
      <c r="B24" s="14" t="n">
        <v>113</v>
      </c>
    </row>
    <row r="25" customFormat="false" ht="15" hidden="false" customHeight="false" outlineLevel="0" collapsed="false">
      <c r="A25" s="10" t="s">
        <v>64</v>
      </c>
      <c r="B25" s="11" t="n">
        <v>0.08</v>
      </c>
    </row>
    <row r="26" customFormat="false" ht="15" hidden="false" customHeight="false" outlineLevel="0" collapsed="false">
      <c r="A26" s="10" t="s">
        <v>65</v>
      </c>
      <c r="B26" s="11" t="n">
        <v>0.035</v>
      </c>
    </row>
    <row r="27" customFormat="false" ht="15" hidden="false" customHeight="false" outlineLevel="0" collapsed="false">
      <c r="A27" s="10" t="s">
        <v>66</v>
      </c>
      <c r="B27" s="11" t="n">
        <v>0.2</v>
      </c>
    </row>
    <row r="28" customFormat="false" ht="15" hidden="false" customHeight="false" outlineLevel="0" collapsed="false">
      <c r="A28" s="10" t="s">
        <v>67</v>
      </c>
      <c r="B28" s="11" t="n">
        <v>0.16</v>
      </c>
    </row>
    <row r="29" customFormat="false" ht="15" hidden="false" customHeight="false" outlineLevel="0" collapsed="false">
      <c r="A29" s="10" t="s">
        <v>68</v>
      </c>
      <c r="B29" s="11" t="n">
        <v>0.022</v>
      </c>
    </row>
    <row r="30" customFormat="false" ht="15" hidden="false" customHeight="false" outlineLevel="0" collapsed="false">
      <c r="A30" s="10" t="s">
        <v>69</v>
      </c>
      <c r="B30" s="11" t="n">
        <v>0.1</v>
      </c>
    </row>
    <row r="32" customFormat="false" ht="15" hidden="false" customHeight="false" outlineLevel="0" collapsed="false">
      <c r="A32" s="7" t="s">
        <v>70</v>
      </c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4"/>
      <c r="E33" s="9" t="s">
        <v>46</v>
      </c>
      <c r="F33" s="9" t="s">
        <v>47</v>
      </c>
      <c r="G33" s="9" t="s">
        <v>48</v>
      </c>
    </row>
    <row r="34" customFormat="false" ht="15" hidden="false" customHeight="false" outlineLevel="0" collapsed="false">
      <c r="A34" s="10" t="s">
        <v>71</v>
      </c>
      <c r="E34" s="11" t="n">
        <v>0.03</v>
      </c>
      <c r="F34" s="11" t="n">
        <v>0.03</v>
      </c>
      <c r="G34" s="11" t="n">
        <v>0.03</v>
      </c>
    </row>
    <row r="35" customFormat="false" ht="15" hidden="false" customHeight="false" outlineLevel="0" collapsed="false">
      <c r="A35" s="10" t="s">
        <v>72</v>
      </c>
      <c r="E35" s="11" t="n">
        <v>0.028</v>
      </c>
      <c r="F35" s="11" t="n">
        <v>0.028</v>
      </c>
      <c r="G35" s="11" t="n">
        <v>0.028</v>
      </c>
    </row>
    <row r="36" customFormat="false" ht="15" hidden="false" customHeight="false" outlineLevel="0" collapsed="false">
      <c r="A36" s="10" t="s">
        <v>73</v>
      </c>
      <c r="E36" s="11" t="n">
        <v>0.03</v>
      </c>
      <c r="F36" s="11" t="n">
        <v>0.03</v>
      </c>
      <c r="G36" s="11" t="n">
        <v>0.03</v>
      </c>
    </row>
    <row r="37" customFormat="false" ht="15" hidden="false" customHeight="false" outlineLevel="0" collapsed="false">
      <c r="A37" s="10" t="s">
        <v>74</v>
      </c>
      <c r="E37" s="11" t="n">
        <v>0.45</v>
      </c>
      <c r="F37" s="11" t="n">
        <v>0.45</v>
      </c>
      <c r="G37" s="11" t="n">
        <v>0.45</v>
      </c>
    </row>
    <row r="38" customFormat="false" ht="15" hidden="false" customHeight="false" outlineLevel="0" collapsed="false">
      <c r="A38" s="10" t="s">
        <v>75</v>
      </c>
      <c r="B38" s="11" t="n">
        <v>0.04</v>
      </c>
    </row>
    <row r="39" customFormat="false" ht="15" hidden="false" customHeight="false" outlineLevel="0" collapsed="false">
      <c r="A39" s="10" t="s">
        <v>76</v>
      </c>
      <c r="B39" s="11" t="n">
        <v>0.75</v>
      </c>
    </row>
    <row r="40" customFormat="false" ht="15" hidden="false" customHeight="false" outlineLevel="0" collapsed="false">
      <c r="A40" s="10" t="s">
        <v>77</v>
      </c>
      <c r="E40" s="15" t="n">
        <v>240</v>
      </c>
      <c r="F40" s="15" t="n">
        <v>255</v>
      </c>
      <c r="G40" s="15" t="n">
        <v>270</v>
      </c>
    </row>
  </sheetData>
  <mergeCells count="2">
    <mergeCell ref="A1:I1"/>
    <mergeCell ref="A2:I2"/>
  </mergeCells>
  <dataValidations count="1">
    <dataValidation allowBlank="false" errorStyle="stop" operator="between" showDropDown="false" showErrorMessage="false" showInputMessage="false" sqref="B4" type="list">
      <formula1>"Base,Bear (-10% Rev Shock),Bull (Upside)"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4"/>
      <c r="B4" s="9" t="s">
        <v>80</v>
      </c>
      <c r="C4" s="9" t="s">
        <v>81</v>
      </c>
      <c r="D4" s="9" t="s">
        <v>82</v>
      </c>
      <c r="E4" s="9" t="s">
        <v>46</v>
      </c>
      <c r="F4" s="9" t="s">
        <v>47</v>
      </c>
      <c r="G4" s="9" t="s">
        <v>48</v>
      </c>
    </row>
    <row r="5" customFormat="false" ht="15" hidden="false" customHeight="false" outlineLevel="0" collapsed="false">
      <c r="A5" s="12" t="s">
        <v>83</v>
      </c>
    </row>
    <row r="6" customFormat="false" ht="15" hidden="false" customHeight="false" outlineLevel="0" collapsed="false">
      <c r="A6" s="10" t="s">
        <v>84</v>
      </c>
      <c r="B6" s="16" t="n">
        <v>298085</v>
      </c>
      <c r="C6" s="16" t="n">
        <v>294866</v>
      </c>
      <c r="D6" s="16" t="n">
        <v>307003</v>
      </c>
    </row>
    <row r="7" customFormat="false" ht="15" hidden="false" customHeight="false" outlineLevel="0" collapsed="false">
      <c r="A7" s="10" t="s">
        <v>85</v>
      </c>
      <c r="B7" s="16" t="n">
        <v>85200</v>
      </c>
      <c r="C7" s="16" t="n">
        <v>96169</v>
      </c>
      <c r="D7" s="16" t="n">
        <v>109158</v>
      </c>
    </row>
    <row r="8" customFormat="false" ht="15" hidden="false" customHeight="false" outlineLevel="0" collapsed="false">
      <c r="A8" s="12" t="s">
        <v>86</v>
      </c>
      <c r="B8" s="17" t="n">
        <v>383285</v>
      </c>
      <c r="C8" s="17" t="n">
        <v>391035</v>
      </c>
      <c r="D8" s="17" t="n">
        <v>416161</v>
      </c>
      <c r="E8" s="17" t="n">
        <f aca="false">D8*(1+Assumptions!E11)</f>
        <v>449453.88</v>
      </c>
      <c r="F8" s="17" t="n">
        <f aca="false">E8*(1+Assumptions!F11)</f>
        <v>480915.6516</v>
      </c>
      <c r="G8" s="17" t="n">
        <f aca="false">F8*(1+Assumptions!G11)</f>
        <v>514579.747212</v>
      </c>
    </row>
    <row r="10" customFormat="false" ht="15" hidden="false" customHeight="false" outlineLevel="0" collapsed="false">
      <c r="A10" s="12" t="s">
        <v>87</v>
      </c>
    </row>
    <row r="11" customFormat="false" ht="15" hidden="false" customHeight="false" outlineLevel="0" collapsed="false">
      <c r="A11" s="10" t="s">
        <v>84</v>
      </c>
      <c r="B11" s="16" t="n">
        <v>189282</v>
      </c>
      <c r="C11" s="16" t="n">
        <v>185233</v>
      </c>
      <c r="D11" s="16" t="n">
        <v>194116</v>
      </c>
    </row>
    <row r="12" customFormat="false" ht="15" hidden="false" customHeight="false" outlineLevel="0" collapsed="false">
      <c r="A12" s="10" t="s">
        <v>85</v>
      </c>
      <c r="B12" s="16" t="n">
        <v>24855</v>
      </c>
      <c r="C12" s="16" t="n">
        <v>25119</v>
      </c>
      <c r="D12" s="16" t="n">
        <v>26844</v>
      </c>
    </row>
    <row r="13" customFormat="false" ht="15" hidden="false" customHeight="false" outlineLevel="0" collapsed="false">
      <c r="A13" s="12" t="s">
        <v>88</v>
      </c>
      <c r="B13" s="17" t="n">
        <v>214137</v>
      </c>
      <c r="C13" s="17" t="n">
        <v>210352</v>
      </c>
      <c r="D13" s="17" t="n">
        <v>220960</v>
      </c>
      <c r="E13" s="17" t="n">
        <f aca="false">E8-E14</f>
        <v>237311.64864</v>
      </c>
      <c r="F13" s="17" t="n">
        <f aca="false">F8-F14</f>
        <v>252480.71709</v>
      </c>
      <c r="G13" s="17" t="n">
        <f aca="false">G8-G14</f>
        <v>269125.207791876</v>
      </c>
    </row>
    <row r="14" customFormat="false" ht="15" hidden="false" customHeight="false" outlineLevel="0" collapsed="false">
      <c r="A14" s="12" t="s">
        <v>89</v>
      </c>
      <c r="B14" s="18" t="n">
        <f aca="false">B8-B13</f>
        <v>169148</v>
      </c>
      <c r="C14" s="18" t="n">
        <f aca="false">C8-C13</f>
        <v>180683</v>
      </c>
      <c r="D14" s="18" t="n">
        <f aca="false">D8-D13</f>
        <v>195201</v>
      </c>
      <c r="E14" s="18" t="n">
        <f aca="false">E8*Assumptions!E15</f>
        <v>212142.23136</v>
      </c>
      <c r="F14" s="18" t="n">
        <f aca="false">F8*Assumptions!F15</f>
        <v>228434.93451</v>
      </c>
      <c r="G14" s="18" t="n">
        <f aca="false">G8*Assumptions!G15</f>
        <v>245454.539420124</v>
      </c>
    </row>
    <row r="15" customFormat="false" ht="15" hidden="false" customHeight="false" outlineLevel="0" collapsed="false">
      <c r="A15" s="10" t="s">
        <v>54</v>
      </c>
      <c r="B15" s="19" t="n">
        <f aca="false">B14/B8</f>
        <v>0.441311295772076</v>
      </c>
      <c r="C15" s="19" t="n">
        <f aca="false">C14/C8</f>
        <v>0.462063498152339</v>
      </c>
      <c r="D15" s="19" t="n">
        <f aca="false">D14/D8</f>
        <v>0.469051641071605</v>
      </c>
      <c r="E15" s="19" t="n">
        <f aca="false">E14/E8</f>
        <v>0.472</v>
      </c>
      <c r="F15" s="19" t="n">
        <f aca="false">F14/F8</f>
        <v>0.475</v>
      </c>
      <c r="G15" s="19" t="n">
        <f aca="false">G14/G8</f>
        <v>0.477</v>
      </c>
    </row>
    <row r="17" customFormat="false" ht="15" hidden="false" customHeight="false" outlineLevel="0" collapsed="false">
      <c r="A17" s="12" t="s">
        <v>90</v>
      </c>
    </row>
    <row r="18" customFormat="false" ht="15" hidden="false" customHeight="false" outlineLevel="0" collapsed="false">
      <c r="A18" s="10" t="s">
        <v>91</v>
      </c>
      <c r="B18" s="16" t="n">
        <v>29915</v>
      </c>
      <c r="C18" s="16" t="n">
        <v>31370</v>
      </c>
      <c r="D18" s="16" t="n">
        <v>34550</v>
      </c>
      <c r="E18" s="16" t="n">
        <f aca="false">E8*Assumptions!E16</f>
        <v>36855.21816</v>
      </c>
      <c r="F18" s="16" t="n">
        <f aca="false">F8*Assumptions!F16</f>
        <v>39435.0834312</v>
      </c>
      <c r="G18" s="16" t="n">
        <f aca="false">G8*Assumptions!G16</f>
        <v>42195.539271384</v>
      </c>
    </row>
    <row r="19" customFormat="false" ht="15" hidden="false" customHeight="false" outlineLevel="0" collapsed="false">
      <c r="A19" s="10" t="s">
        <v>92</v>
      </c>
      <c r="B19" s="16" t="n">
        <v>24932</v>
      </c>
      <c r="C19" s="16" t="n">
        <v>26097</v>
      </c>
      <c r="D19" s="16" t="n">
        <v>27601</v>
      </c>
      <c r="E19" s="16" t="n">
        <f aca="false">E8*Assumptions!E17</f>
        <v>29663.95608</v>
      </c>
      <c r="F19" s="16" t="n">
        <f aca="false">F8*Assumptions!F17</f>
        <v>31740.4330056</v>
      </c>
      <c r="G19" s="16" t="n">
        <f aca="false">G8*Assumptions!G17</f>
        <v>33962.263315992</v>
      </c>
    </row>
    <row r="20" customFormat="false" ht="15" hidden="false" customHeight="false" outlineLevel="0" collapsed="false">
      <c r="A20" s="12" t="s">
        <v>93</v>
      </c>
      <c r="B20" s="17" t="n">
        <f aca="false">SUM(B18:B19)</f>
        <v>54847</v>
      </c>
      <c r="C20" s="17" t="n">
        <f aca="false">SUM(C18:C19)</f>
        <v>57467</v>
      </c>
      <c r="D20" s="17" t="n">
        <f aca="false">SUM(D18:D19)</f>
        <v>62151</v>
      </c>
      <c r="E20" s="17" t="n">
        <f aca="false">SUM(E18:E19)</f>
        <v>66519.17424</v>
      </c>
      <c r="F20" s="17" t="n">
        <f aca="false">SUM(F18:F19)</f>
        <v>71175.5164368</v>
      </c>
      <c r="G20" s="17" t="n">
        <f aca="false">SUM(G18:G19)</f>
        <v>76157.802587376</v>
      </c>
    </row>
    <row r="22" customFormat="false" ht="15" hidden="false" customHeight="false" outlineLevel="0" collapsed="false">
      <c r="A22" s="12" t="s">
        <v>94</v>
      </c>
      <c r="B22" s="18" t="n">
        <f aca="false">B14-B20</f>
        <v>114301</v>
      </c>
      <c r="C22" s="18" t="n">
        <f aca="false">C14-C20</f>
        <v>123216</v>
      </c>
      <c r="D22" s="18" t="n">
        <f aca="false">D14-D20</f>
        <v>133050</v>
      </c>
      <c r="E22" s="18" t="n">
        <f aca="false">E14-E20</f>
        <v>145623.05712</v>
      </c>
      <c r="F22" s="18" t="n">
        <f aca="false">F14-F20</f>
        <v>157259.4180732</v>
      </c>
      <c r="G22" s="18" t="n">
        <f aca="false">G14-G20</f>
        <v>169296.736832748</v>
      </c>
    </row>
    <row r="23" customFormat="false" ht="15" hidden="false" customHeight="false" outlineLevel="0" collapsed="false">
      <c r="A23" s="10" t="s">
        <v>95</v>
      </c>
      <c r="B23" s="19" t="n">
        <f aca="false">B22/B8</f>
        <v>0.298214122650247</v>
      </c>
      <c r="C23" s="19" t="n">
        <f aca="false">C22/C8</f>
        <v>0.315102228700756</v>
      </c>
      <c r="D23" s="19" t="n">
        <f aca="false">D22/D8</f>
        <v>0.319707997625919</v>
      </c>
      <c r="E23" s="19" t="n">
        <f aca="false">E22/E8</f>
        <v>0.324</v>
      </c>
      <c r="F23" s="19" t="n">
        <f aca="false">F22/F8</f>
        <v>0.327</v>
      </c>
      <c r="G23" s="19" t="n">
        <f aca="false">G22/G8</f>
        <v>0.329</v>
      </c>
    </row>
    <row r="25" customFormat="false" ht="15" hidden="false" customHeight="false" outlineLevel="0" collapsed="false">
      <c r="A25" s="10" t="s">
        <v>96</v>
      </c>
      <c r="B25" s="16" t="n">
        <v>-565</v>
      </c>
      <c r="C25" s="16" t="n">
        <v>269</v>
      </c>
      <c r="D25" s="16" t="n">
        <v>-321</v>
      </c>
      <c r="E25" s="16" t="n">
        <f aca="false">E8*Assumptions!E18</f>
        <v>-449.45388</v>
      </c>
      <c r="F25" s="16" t="n">
        <f aca="false">F8*Assumptions!F18</f>
        <v>-480.9156516</v>
      </c>
      <c r="G25" s="16" t="n">
        <f aca="false">G8*Assumptions!G18</f>
        <v>-514.579747212</v>
      </c>
    </row>
    <row r="26" customFormat="false" ht="15" hidden="false" customHeight="false" outlineLevel="0" collapsed="false">
      <c r="A26" s="12" t="s">
        <v>97</v>
      </c>
      <c r="B26" s="17" t="n">
        <f aca="false">B22+B25</f>
        <v>113736</v>
      </c>
      <c r="C26" s="17" t="n">
        <f aca="false">C22+C25</f>
        <v>123485</v>
      </c>
      <c r="D26" s="17" t="n">
        <f aca="false">D22+D25</f>
        <v>132729</v>
      </c>
      <c r="E26" s="17" t="n">
        <f aca="false">E22+E25</f>
        <v>145173.60324</v>
      </c>
      <c r="F26" s="17" t="n">
        <f aca="false">F22+F25</f>
        <v>156778.5024216</v>
      </c>
      <c r="G26" s="17" t="n">
        <f aca="false">G22+G25</f>
        <v>168782.157085536</v>
      </c>
    </row>
    <row r="27" customFormat="false" ht="15" hidden="false" customHeight="false" outlineLevel="0" collapsed="false">
      <c r="A27" s="10" t="s">
        <v>98</v>
      </c>
      <c r="B27" s="16" t="n">
        <v>16741</v>
      </c>
      <c r="C27" s="16" t="n">
        <v>29749</v>
      </c>
      <c r="D27" s="16" t="n">
        <v>20719</v>
      </c>
      <c r="E27" s="16" t="n">
        <f aca="false">E26*Assumptions!E19</f>
        <v>23227.7765184</v>
      </c>
      <c r="F27" s="16" t="n">
        <f aca="false">F26*Assumptions!F19</f>
        <v>25084.560387456</v>
      </c>
      <c r="G27" s="16" t="n">
        <f aca="false">G26*Assumptions!G19</f>
        <v>27005.1451336858</v>
      </c>
    </row>
    <row r="28" customFormat="false" ht="15" hidden="false" customHeight="false" outlineLevel="0" collapsed="false">
      <c r="A28" s="12" t="s">
        <v>99</v>
      </c>
      <c r="B28" s="17" t="n">
        <f aca="false">B26-B27</f>
        <v>96995</v>
      </c>
      <c r="C28" s="17" t="n">
        <f aca="false">C26-C27</f>
        <v>93736</v>
      </c>
      <c r="D28" s="17" t="n">
        <f aca="false">D26-D27</f>
        <v>112010</v>
      </c>
      <c r="E28" s="17" t="n">
        <f aca="false">E26-E27</f>
        <v>121945.8267216</v>
      </c>
      <c r="F28" s="17" t="n">
        <f aca="false">F26-F27</f>
        <v>131693.942034144</v>
      </c>
      <c r="G28" s="17" t="n">
        <f aca="false">G26-G27</f>
        <v>141777.01195185</v>
      </c>
    </row>
    <row r="29" customFormat="false" ht="15" hidden="false" customHeight="false" outlineLevel="0" collapsed="false">
      <c r="A29" s="10" t="s">
        <v>100</v>
      </c>
      <c r="B29" s="19" t="n">
        <f aca="false">B28/B8</f>
        <v>0.253062342643203</v>
      </c>
      <c r="C29" s="19" t="n">
        <f aca="false">C28/C8</f>
        <v>0.239712557699439</v>
      </c>
      <c r="D29" s="19" t="n">
        <f aca="false">D28/D8</f>
        <v>0.269150641218182</v>
      </c>
      <c r="E29" s="19" t="n">
        <f aca="false">E28/E8</f>
        <v>0.27132</v>
      </c>
      <c r="F29" s="19" t="n">
        <f aca="false">F28/F8</f>
        <v>0.27384</v>
      </c>
      <c r="G29" s="19" t="n">
        <f aca="false">G28/G8</f>
        <v>0.27552</v>
      </c>
    </row>
    <row r="31" customFormat="false" ht="15" hidden="false" customHeight="false" outlineLevel="0" collapsed="false">
      <c r="A31" s="10" t="s">
        <v>101</v>
      </c>
      <c r="B31" s="20" t="n">
        <v>15812547</v>
      </c>
      <c r="C31" s="20" t="n">
        <v>15408095</v>
      </c>
      <c r="D31" s="20" t="n">
        <v>15004697</v>
      </c>
      <c r="E31" s="21" t="n">
        <f aca="false">D31+'Cash Flow Statement'!E29/Assumptions!E40*1000</f>
        <v>14577145.2291015</v>
      </c>
      <c r="F31" s="21" t="n">
        <f aca="false">E31+'Cash Flow Statement'!F29/Assumptions!F40*1000</f>
        <v>14148912.8808429</v>
      </c>
      <c r="G31" s="21" t="n">
        <f aca="false">F31+'Cash Flow Statement'!G29/Assumptions!G40*1000</f>
        <v>13713431.5853704</v>
      </c>
    </row>
    <row r="32" customFormat="false" ht="15" hidden="false" customHeight="false" outlineLevel="0" collapsed="false">
      <c r="A32" s="12" t="s">
        <v>102</v>
      </c>
      <c r="B32" s="22" t="n">
        <f aca="false">B28*1000/B31</f>
        <v>6.1340529138032</v>
      </c>
      <c r="C32" s="22" t="n">
        <f aca="false">C28*1000/C31</f>
        <v>6.08355542979194</v>
      </c>
      <c r="D32" s="22" t="n">
        <f aca="false">D28*1000/D31</f>
        <v>7.46499579431694</v>
      </c>
      <c r="E32" s="22" t="n">
        <f aca="false">E28*1000/E31</f>
        <v>8.36554927628422</v>
      </c>
      <c r="F32" s="22" t="n">
        <f aca="false">F28*1000/F31</f>
        <v>9.30770746439839</v>
      </c>
      <c r="G32" s="22" t="n">
        <f aca="false">G28*1000/G31</f>
        <v>10.338551008859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4"/>
      <c r="B4" s="9" t="s">
        <v>80</v>
      </c>
      <c r="C4" s="9" t="s">
        <v>81</v>
      </c>
      <c r="D4" s="9" t="s">
        <v>82</v>
      </c>
      <c r="E4" s="9" t="s">
        <v>46</v>
      </c>
      <c r="F4" s="9" t="s">
        <v>47</v>
      </c>
      <c r="G4" s="9" t="s">
        <v>48</v>
      </c>
    </row>
    <row r="5" customFormat="false" ht="15" hidden="false" customHeight="false" outlineLevel="0" collapsed="false">
      <c r="A5" s="12" t="s">
        <v>104</v>
      </c>
    </row>
    <row r="6" customFormat="false" ht="15" hidden="false" customHeight="false" outlineLevel="0" collapsed="false">
      <c r="A6" s="12" t="s">
        <v>105</v>
      </c>
    </row>
    <row r="7" customFormat="false" ht="15" hidden="false" customHeight="false" outlineLevel="0" collapsed="false">
      <c r="A7" s="10" t="s">
        <v>106</v>
      </c>
      <c r="B7" s="16" t="n">
        <v>29965</v>
      </c>
      <c r="C7" s="16" t="n">
        <v>29943</v>
      </c>
      <c r="D7" s="16" t="n">
        <v>35934</v>
      </c>
      <c r="E7" s="23" t="n">
        <f aca="false">D7+'Cash Flow Statement'!E34</f>
        <v>48032.6742918795</v>
      </c>
      <c r="F7" s="23" t="n">
        <f aca="false">E7+'Cash Flow Statement'!F34</f>
        <v>61260.7089972607</v>
      </c>
      <c r="G7" s="23" t="n">
        <f aca="false">F7+'Cash Flow Statement'!G34</f>
        <v>76160.6712584223</v>
      </c>
    </row>
    <row r="8" customFormat="false" ht="15" hidden="false" customHeight="false" outlineLevel="0" collapsed="false">
      <c r="A8" s="10" t="s">
        <v>107</v>
      </c>
      <c r="B8" s="16" t="n">
        <v>31590</v>
      </c>
      <c r="C8" s="16" t="n">
        <v>35228</v>
      </c>
      <c r="D8" s="16" t="n">
        <v>18763</v>
      </c>
      <c r="E8" s="16" t="n">
        <f aca="false">D8</f>
        <v>18763</v>
      </c>
      <c r="F8" s="16" t="n">
        <f aca="false">E8</f>
        <v>18763</v>
      </c>
      <c r="G8" s="16" t="n">
        <f aca="false">F8</f>
        <v>18763</v>
      </c>
    </row>
    <row r="9" customFormat="false" ht="15" hidden="false" customHeight="false" outlineLevel="0" collapsed="false">
      <c r="A9" s="10" t="s">
        <v>108</v>
      </c>
      <c r="B9" s="16" t="n">
        <v>29508</v>
      </c>
      <c r="C9" s="16" t="n">
        <v>33410</v>
      </c>
      <c r="D9" s="16" t="n">
        <v>39777</v>
      </c>
      <c r="E9" s="16" t="n">
        <f aca="false">'Income Statement'!E8/365*Assumptions!$B$22</f>
        <v>40635.5562739726</v>
      </c>
      <c r="F9" s="16" t="n">
        <f aca="false">'Income Statement'!F8/365*Assumptions!$B$22</f>
        <v>43480.0452131507</v>
      </c>
      <c r="G9" s="16" t="n">
        <f aca="false">'Income Statement'!G8/365*Assumptions!$B$22</f>
        <v>46523.6483780712</v>
      </c>
    </row>
    <row r="10" customFormat="false" ht="15" hidden="false" customHeight="false" outlineLevel="0" collapsed="false">
      <c r="A10" s="10" t="s">
        <v>109</v>
      </c>
      <c r="B10" s="16" t="n">
        <v>31477</v>
      </c>
      <c r="C10" s="16" t="n">
        <v>32833</v>
      </c>
      <c r="D10" s="16" t="n">
        <v>33180</v>
      </c>
      <c r="E10" s="16" t="n">
        <f aca="false">'Income Statement'!E8*Assumptions!$B$25</f>
        <v>35956.3104</v>
      </c>
      <c r="F10" s="16" t="n">
        <f aca="false">'Income Statement'!F8*Assumptions!$B$25</f>
        <v>38473.252128</v>
      </c>
      <c r="G10" s="16" t="n">
        <f aca="false">'Income Statement'!G8*Assumptions!$B$25</f>
        <v>41166.37977696</v>
      </c>
    </row>
    <row r="11" customFormat="false" ht="15" hidden="false" customHeight="false" outlineLevel="0" collapsed="false">
      <c r="A11" s="10" t="s">
        <v>110</v>
      </c>
      <c r="B11" s="16" t="n">
        <v>6331</v>
      </c>
      <c r="C11" s="16" t="n">
        <v>7286</v>
      </c>
      <c r="D11" s="16" t="n">
        <v>5718</v>
      </c>
      <c r="E11" s="16" t="n">
        <f aca="false">'Income Statement'!E13/365*Assumptions!$B$23</f>
        <v>5851.52010345206</v>
      </c>
      <c r="F11" s="16" t="n">
        <f aca="false">'Income Statement'!F13/365*Assumptions!$B$23</f>
        <v>6225.55192824658</v>
      </c>
      <c r="G11" s="16" t="n">
        <f aca="false">'Income Statement'!G13/365*Assumptions!$B$23</f>
        <v>6635.96402774489</v>
      </c>
    </row>
    <row r="12" customFormat="false" ht="15" hidden="false" customHeight="false" outlineLevel="0" collapsed="false">
      <c r="A12" s="10" t="s">
        <v>111</v>
      </c>
      <c r="B12" s="16" t="n">
        <v>14695</v>
      </c>
      <c r="C12" s="16" t="n">
        <v>14287</v>
      </c>
      <c r="D12" s="16" t="n">
        <v>14585</v>
      </c>
      <c r="E12" s="16" t="n">
        <f aca="false">'Income Statement'!E8*Assumptions!$B$26</f>
        <v>15730.8858</v>
      </c>
      <c r="F12" s="16" t="n">
        <f aca="false">'Income Statement'!F8*Assumptions!$B$26</f>
        <v>16832.047806</v>
      </c>
      <c r="G12" s="16" t="n">
        <f aca="false">'Income Statement'!G8*Assumptions!$B$26</f>
        <v>18010.29115242</v>
      </c>
    </row>
    <row r="13" customFormat="false" ht="15" hidden="false" customHeight="false" outlineLevel="0" collapsed="false">
      <c r="A13" s="12" t="s">
        <v>112</v>
      </c>
      <c r="B13" s="17" t="n">
        <f aca="false">SUM(B7:B12)</f>
        <v>143566</v>
      </c>
      <c r="C13" s="17" t="n">
        <f aca="false">SUM(C7:C12)</f>
        <v>152987</v>
      </c>
      <c r="D13" s="17" t="n">
        <f aca="false">SUM(D7:D12)</f>
        <v>147957</v>
      </c>
      <c r="E13" s="17" t="n">
        <f aca="false">SUM(E7:E12)</f>
        <v>164969.946869304</v>
      </c>
      <c r="F13" s="17" t="n">
        <f aca="false">SUM(F7:F12)</f>
        <v>185034.606072658</v>
      </c>
      <c r="G13" s="17" t="n">
        <f aca="false">SUM(G7:G12)</f>
        <v>207259.954593618</v>
      </c>
    </row>
    <row r="15" customFormat="false" ht="15" hidden="false" customHeight="false" outlineLevel="0" collapsed="false">
      <c r="A15" s="12" t="s">
        <v>113</v>
      </c>
    </row>
    <row r="16" customFormat="false" ht="15" hidden="false" customHeight="false" outlineLevel="0" collapsed="false">
      <c r="A16" s="10" t="s">
        <v>114</v>
      </c>
      <c r="B16" s="16" t="n">
        <v>100544</v>
      </c>
      <c r="C16" s="16" t="n">
        <v>91479</v>
      </c>
      <c r="D16" s="16" t="n">
        <v>77723</v>
      </c>
      <c r="E16" s="16" t="n">
        <f aca="false">D16</f>
        <v>77723</v>
      </c>
      <c r="F16" s="16" t="n">
        <f aca="false">E16</f>
        <v>77723</v>
      </c>
      <c r="G16" s="16" t="n">
        <f aca="false">F16</f>
        <v>77723</v>
      </c>
    </row>
    <row r="17" customFormat="false" ht="15" hidden="false" customHeight="false" outlineLevel="0" collapsed="false">
      <c r="A17" s="10" t="s">
        <v>115</v>
      </c>
      <c r="B17" s="16" t="n">
        <v>43715</v>
      </c>
      <c r="C17" s="16" t="n">
        <v>45680</v>
      </c>
      <c r="D17" s="16" t="n">
        <v>49834</v>
      </c>
      <c r="E17" s="23" t="n">
        <f aca="false">D17-'Cash Flow Statement'!E23-'Cash Flow Statement'!E7</f>
        <v>50732.90776</v>
      </c>
      <c r="F17" s="23" t="n">
        <f aca="false">E17-'Cash Flow Statement'!F23-'Cash Flow Statement'!F7</f>
        <v>51694.7390632</v>
      </c>
      <c r="G17" s="23" t="n">
        <f aca="false">F17-'Cash Flow Statement'!G23-'Cash Flow Statement'!G7</f>
        <v>52723.898557624</v>
      </c>
    </row>
    <row r="18" customFormat="false" ht="15" hidden="false" customHeight="false" outlineLevel="0" collapsed="false">
      <c r="A18" s="10" t="s">
        <v>116</v>
      </c>
      <c r="B18" s="16" t="n">
        <v>64758</v>
      </c>
      <c r="C18" s="16" t="n">
        <v>74834</v>
      </c>
      <c r="D18" s="16" t="n">
        <v>83727</v>
      </c>
      <c r="E18" s="16" t="n">
        <f aca="false">'Income Statement'!E8*Assumptions!$B$27</f>
        <v>89890.776</v>
      </c>
      <c r="F18" s="16" t="n">
        <f aca="false">'Income Statement'!F8*Assumptions!$B$27</f>
        <v>96183.13032</v>
      </c>
      <c r="G18" s="16" t="n">
        <f aca="false">'Income Statement'!G8*Assumptions!$B$27</f>
        <v>102915.9494424</v>
      </c>
    </row>
    <row r="19" customFormat="false" ht="15" hidden="false" customHeight="false" outlineLevel="0" collapsed="false">
      <c r="A19" s="12" t="s">
        <v>117</v>
      </c>
      <c r="B19" s="17" t="n">
        <f aca="false">SUM(B16:B18)</f>
        <v>209017</v>
      </c>
      <c r="C19" s="17" t="n">
        <f aca="false">SUM(C16:C18)</f>
        <v>211993</v>
      </c>
      <c r="D19" s="17" t="n">
        <f aca="false">SUM(D16:D18)</f>
        <v>211284</v>
      </c>
      <c r="E19" s="17" t="n">
        <f aca="false">SUM(E16:E18)</f>
        <v>218346.68376</v>
      </c>
      <c r="F19" s="17" t="n">
        <f aca="false">SUM(F16:F18)</f>
        <v>225600.8693832</v>
      </c>
      <c r="G19" s="17" t="n">
        <f aca="false">SUM(G16:G18)</f>
        <v>233362.848000024</v>
      </c>
    </row>
    <row r="20" customFormat="false" ht="15" hidden="false" customHeight="false" outlineLevel="0" collapsed="false">
      <c r="A20" s="12" t="s">
        <v>118</v>
      </c>
      <c r="B20" s="17" t="n">
        <f aca="false">B13+B19</f>
        <v>352583</v>
      </c>
      <c r="C20" s="17" t="n">
        <f aca="false">C13+C19</f>
        <v>364980</v>
      </c>
      <c r="D20" s="17" t="n">
        <f aca="false">D13+D19</f>
        <v>359241</v>
      </c>
      <c r="E20" s="17" t="n">
        <f aca="false">E13+E19</f>
        <v>383316.630629304</v>
      </c>
      <c r="F20" s="17" t="n">
        <f aca="false">F13+F19</f>
        <v>410635.475455858</v>
      </c>
      <c r="G20" s="17" t="n">
        <f aca="false">G13+G19</f>
        <v>440622.802593643</v>
      </c>
    </row>
    <row r="22" customFormat="false" ht="15" hidden="false" customHeight="false" outlineLevel="0" collapsed="false">
      <c r="A22" s="12" t="s">
        <v>119</v>
      </c>
    </row>
    <row r="23" customFormat="false" ht="15" hidden="false" customHeight="false" outlineLevel="0" collapsed="false">
      <c r="A23" s="12" t="s">
        <v>120</v>
      </c>
    </row>
    <row r="24" customFormat="false" ht="15" hidden="false" customHeight="false" outlineLevel="0" collapsed="false">
      <c r="A24" s="10" t="s">
        <v>121</v>
      </c>
      <c r="B24" s="16" t="n">
        <v>62611</v>
      </c>
      <c r="C24" s="16" t="n">
        <v>68960</v>
      </c>
      <c r="D24" s="16" t="n">
        <v>69860</v>
      </c>
      <c r="E24" s="16" t="n">
        <f aca="false">'Income Statement'!E13/365*Assumptions!$B$24</f>
        <v>73469.0857433425</v>
      </c>
      <c r="F24" s="16" t="n">
        <f aca="false">'Income Statement'!F13/365*Assumptions!$B$24</f>
        <v>78165.2630990959</v>
      </c>
      <c r="G24" s="16" t="n">
        <f aca="false">'Income Statement'!G13/365*Assumptions!$B$24</f>
        <v>83318.2150150192</v>
      </c>
    </row>
    <row r="25" customFormat="false" ht="15" hidden="false" customHeight="false" outlineLevel="0" collapsed="false">
      <c r="A25" s="10" t="s">
        <v>122</v>
      </c>
      <c r="B25" s="16" t="n">
        <v>58829</v>
      </c>
      <c r="C25" s="16" t="n">
        <v>78304</v>
      </c>
      <c r="D25" s="16" t="n">
        <v>66387</v>
      </c>
      <c r="E25" s="16" t="n">
        <f aca="false">'Income Statement'!E8*Assumptions!$B$28</f>
        <v>71912.6208</v>
      </c>
      <c r="F25" s="16" t="n">
        <f aca="false">'Income Statement'!F8*Assumptions!$B$28</f>
        <v>76946.504256</v>
      </c>
      <c r="G25" s="16" t="n">
        <f aca="false">'Income Statement'!G8*Assumptions!$B$28</f>
        <v>82332.75955392</v>
      </c>
    </row>
    <row r="26" customFormat="false" ht="15" hidden="false" customHeight="false" outlineLevel="0" collapsed="false">
      <c r="A26" s="10" t="s">
        <v>123</v>
      </c>
      <c r="B26" s="16" t="n">
        <v>8061</v>
      </c>
      <c r="C26" s="16" t="n">
        <v>8249</v>
      </c>
      <c r="D26" s="16" t="n">
        <v>9055</v>
      </c>
      <c r="E26" s="16" t="n">
        <f aca="false">'Income Statement'!E8*Assumptions!$B$29</f>
        <v>9887.98536</v>
      </c>
      <c r="F26" s="16" t="n">
        <f aca="false">'Income Statement'!F8*Assumptions!$B$29</f>
        <v>10580.1443352</v>
      </c>
      <c r="G26" s="16" t="n">
        <f aca="false">'Income Statement'!G8*Assumptions!$B$29</f>
        <v>11320.754438664</v>
      </c>
    </row>
    <row r="27" customFormat="false" ht="15" hidden="false" customHeight="false" outlineLevel="0" collapsed="false">
      <c r="A27" s="10" t="s">
        <v>124</v>
      </c>
      <c r="B27" s="16" t="n">
        <v>5985</v>
      </c>
      <c r="C27" s="16" t="n">
        <v>9967</v>
      </c>
      <c r="D27" s="16" t="n">
        <v>7979</v>
      </c>
      <c r="E27" s="16" t="n">
        <f aca="false">D27</f>
        <v>7979</v>
      </c>
      <c r="F27" s="16" t="n">
        <f aca="false">E27</f>
        <v>7979</v>
      </c>
      <c r="G27" s="16" t="n">
        <f aca="false">F27</f>
        <v>7979</v>
      </c>
    </row>
    <row r="28" customFormat="false" ht="15" hidden="false" customHeight="false" outlineLevel="0" collapsed="false">
      <c r="A28" s="10" t="s">
        <v>125</v>
      </c>
      <c r="B28" s="16" t="n">
        <v>9822</v>
      </c>
      <c r="C28" s="16" t="n">
        <v>10912</v>
      </c>
      <c r="D28" s="16" t="n">
        <v>12350</v>
      </c>
      <c r="E28" s="16" t="n">
        <f aca="false">D28</f>
        <v>12350</v>
      </c>
      <c r="F28" s="16" t="n">
        <f aca="false">E28</f>
        <v>12350</v>
      </c>
      <c r="G28" s="16" t="n">
        <f aca="false">F28</f>
        <v>12350</v>
      </c>
    </row>
    <row r="29" customFormat="false" ht="15" hidden="false" customHeight="false" outlineLevel="0" collapsed="false">
      <c r="A29" s="12" t="s">
        <v>126</v>
      </c>
      <c r="B29" s="17" t="n">
        <f aca="false">SUM(B24:B28)</f>
        <v>145308</v>
      </c>
      <c r="C29" s="17" t="n">
        <f aca="false">SUM(C24:C28)</f>
        <v>176392</v>
      </c>
      <c r="D29" s="17" t="n">
        <f aca="false">SUM(D24:D28)</f>
        <v>165631</v>
      </c>
      <c r="E29" s="17" t="n">
        <f aca="false">SUM(E24:E28)</f>
        <v>175598.691903342</v>
      </c>
      <c r="F29" s="17" t="n">
        <f aca="false">SUM(F24:F28)</f>
        <v>186020.911690296</v>
      </c>
      <c r="G29" s="17" t="n">
        <f aca="false">SUM(G24:G28)</f>
        <v>197300.729007603</v>
      </c>
    </row>
    <row r="31" customFormat="false" ht="15" hidden="false" customHeight="false" outlineLevel="0" collapsed="false">
      <c r="A31" s="12" t="s">
        <v>127</v>
      </c>
    </row>
    <row r="32" customFormat="false" ht="15" hidden="false" customHeight="false" outlineLevel="0" collapsed="false">
      <c r="A32" s="10" t="s">
        <v>128</v>
      </c>
      <c r="B32" s="16" t="n">
        <v>95281</v>
      </c>
      <c r="C32" s="16" t="n">
        <v>85750</v>
      </c>
      <c r="D32" s="16" t="n">
        <v>78328</v>
      </c>
      <c r="E32" s="16" t="n">
        <f aca="false">D32</f>
        <v>78328</v>
      </c>
      <c r="F32" s="16" t="n">
        <f aca="false">E32</f>
        <v>78328</v>
      </c>
      <c r="G32" s="16" t="n">
        <f aca="false">F32</f>
        <v>78328</v>
      </c>
    </row>
    <row r="33" customFormat="false" ht="15" hidden="false" customHeight="false" outlineLevel="0" collapsed="false">
      <c r="A33" s="10" t="s">
        <v>129</v>
      </c>
      <c r="B33" s="16" t="n">
        <v>49848</v>
      </c>
      <c r="C33" s="16" t="n">
        <v>45888</v>
      </c>
      <c r="D33" s="16" t="n">
        <v>41549</v>
      </c>
      <c r="E33" s="16" t="n">
        <f aca="false">'Income Statement'!E8*Assumptions!$B$30</f>
        <v>44945.388</v>
      </c>
      <c r="F33" s="16" t="n">
        <f aca="false">'Income Statement'!F8*Assumptions!$B$30</f>
        <v>48091.56516</v>
      </c>
      <c r="G33" s="16" t="n">
        <f aca="false">'Income Statement'!G8*Assumptions!$B$30</f>
        <v>51457.9747212</v>
      </c>
    </row>
    <row r="34" customFormat="false" ht="15" hidden="false" customHeight="false" outlineLevel="0" collapsed="false">
      <c r="A34" s="12" t="s">
        <v>130</v>
      </c>
      <c r="B34" s="17" t="n">
        <f aca="false">SUM(B32:B33)</f>
        <v>145129</v>
      </c>
      <c r="C34" s="17" t="n">
        <f aca="false">SUM(C32:C33)</f>
        <v>131638</v>
      </c>
      <c r="D34" s="17" t="n">
        <f aca="false">SUM(D32:D33)</f>
        <v>119877</v>
      </c>
      <c r="E34" s="17" t="n">
        <f aca="false">SUM(E32:E33)</f>
        <v>123273.388</v>
      </c>
      <c r="F34" s="17" t="n">
        <f aca="false">SUM(F32:F33)</f>
        <v>126419.56516</v>
      </c>
      <c r="G34" s="17" t="n">
        <f aca="false">SUM(G32:G33)</f>
        <v>129785.9747212</v>
      </c>
    </row>
    <row r="35" customFormat="false" ht="15" hidden="false" customHeight="false" outlineLevel="0" collapsed="false">
      <c r="A35" s="12" t="s">
        <v>131</v>
      </c>
      <c r="B35" s="17" t="n">
        <f aca="false">B29+B34</f>
        <v>290437</v>
      </c>
      <c r="C35" s="17" t="n">
        <f aca="false">C29+C34</f>
        <v>308030</v>
      </c>
      <c r="D35" s="17" t="n">
        <f aca="false">D29+D34</f>
        <v>285508</v>
      </c>
      <c r="E35" s="17" t="n">
        <f aca="false">E29+E34</f>
        <v>298872.079903342</v>
      </c>
      <c r="F35" s="17" t="n">
        <f aca="false">F29+F34</f>
        <v>312440.476850296</v>
      </c>
      <c r="G35" s="17" t="n">
        <f aca="false">G29+G34</f>
        <v>327086.703728803</v>
      </c>
    </row>
    <row r="37" customFormat="false" ht="15" hidden="false" customHeight="false" outlineLevel="0" collapsed="false">
      <c r="A37" s="12" t="s">
        <v>132</v>
      </c>
      <c r="B37" s="18" t="n">
        <v>62146</v>
      </c>
      <c r="C37" s="18" t="n">
        <v>56950</v>
      </c>
      <c r="D37" s="18" t="n">
        <v>73733</v>
      </c>
      <c r="E37" s="23" t="n">
        <f aca="false">D37+'Income Statement'!E28+'Cash Flow Statement'!E28+'Cash Flow Statement'!E29+'Cash Flow Statement'!E27+'Cash Flow Statement'!E8</f>
        <v>84444.5507259616</v>
      </c>
      <c r="F37" s="23" t="n">
        <f aca="false">E37+'Income Statement'!F28+'Cash Flow Statement'!F28+'Cash Flow Statement'!F29+'Cash Flow Statement'!F27+'Cash Flow Statement'!F8</f>
        <v>98194.998605562</v>
      </c>
      <c r="G37" s="23" t="n">
        <f aca="false">F37+'Income Statement'!G28+'Cash Flow Statement'!G28+'Cash Flow Statement'!G29+'Cash Flow Statement'!G27+'Cash Flow Statement'!G8</f>
        <v>113536.098864839</v>
      </c>
    </row>
    <row r="38" customFormat="false" ht="15" hidden="false" customHeight="false" outlineLevel="0" collapsed="false">
      <c r="A38" s="12" t="s">
        <v>133</v>
      </c>
      <c r="B38" s="17" t="n">
        <f aca="false">B35+B37</f>
        <v>352583</v>
      </c>
      <c r="C38" s="17" t="n">
        <f aca="false">C35+C37</f>
        <v>364980</v>
      </c>
      <c r="D38" s="17" t="n">
        <f aca="false">D35+D37</f>
        <v>359241</v>
      </c>
      <c r="E38" s="17" t="n">
        <f aca="false">E35+E37</f>
        <v>383316.630629304</v>
      </c>
      <c r="F38" s="17" t="n">
        <f aca="false">F35+F37</f>
        <v>410635.475455858</v>
      </c>
      <c r="G38" s="17" t="n">
        <f aca="false">G35+G37</f>
        <v>440622.802593643</v>
      </c>
    </row>
    <row r="40" customFormat="false" ht="15" hidden="false" customHeight="false" outlineLevel="0" collapsed="false">
      <c r="A40" s="12" t="s">
        <v>134</v>
      </c>
      <c r="B40" s="24" t="n">
        <f aca="false">ROUND(B20-B38,0)</f>
        <v>0</v>
      </c>
      <c r="C40" s="24" t="n">
        <f aca="false">ROUND(C20-C38,0)</f>
        <v>0</v>
      </c>
      <c r="D40" s="24" t="n">
        <f aca="false">ROUND(D20-D38,0)</f>
        <v>0</v>
      </c>
      <c r="E40" s="24" t="n">
        <f aca="false">ROUND(E20-E38,0)</f>
        <v>0</v>
      </c>
      <c r="F40" s="24" t="n">
        <f aca="false">ROUND(F20-F38,0)</f>
        <v>0</v>
      </c>
      <c r="G40" s="24" t="n">
        <f aca="false">ROUND(G20-G38,0)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135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4"/>
      <c r="B4" s="9" t="s">
        <v>80</v>
      </c>
      <c r="C4" s="9" t="s">
        <v>81</v>
      </c>
      <c r="D4" s="9" t="s">
        <v>82</v>
      </c>
      <c r="E4" s="9" t="s">
        <v>46</v>
      </c>
      <c r="F4" s="9" t="s">
        <v>47</v>
      </c>
      <c r="G4" s="9" t="s">
        <v>48</v>
      </c>
    </row>
    <row r="5" customFormat="false" ht="15" hidden="false" customHeight="false" outlineLevel="0" collapsed="false">
      <c r="A5" s="12" t="s">
        <v>136</v>
      </c>
    </row>
    <row r="6" customFormat="false" ht="15" hidden="false" customHeight="false" outlineLevel="0" collapsed="false">
      <c r="A6" s="10" t="s">
        <v>99</v>
      </c>
      <c r="B6" s="16" t="n">
        <v>96995</v>
      </c>
      <c r="C6" s="16" t="n">
        <v>93736</v>
      </c>
      <c r="D6" s="16" t="n">
        <v>112010</v>
      </c>
      <c r="E6" s="23" t="n">
        <f aca="false">'Income Statement'!E28</f>
        <v>121945.8267216</v>
      </c>
      <c r="F6" s="23" t="n">
        <f aca="false">'Income Statement'!F28</f>
        <v>131693.942034144</v>
      </c>
      <c r="G6" s="23" t="n">
        <f aca="false">'Income Statement'!G28</f>
        <v>141777.01195185</v>
      </c>
    </row>
    <row r="7" customFormat="false" ht="15" hidden="false" customHeight="false" outlineLevel="0" collapsed="false">
      <c r="A7" s="10" t="s">
        <v>137</v>
      </c>
      <c r="B7" s="16" t="n">
        <v>11519</v>
      </c>
      <c r="C7" s="16" t="n">
        <v>11445</v>
      </c>
      <c r="D7" s="16" t="n">
        <v>11698</v>
      </c>
      <c r="E7" s="16" t="n">
        <f aca="false">'Income Statement'!E8*Assumptions!E35</f>
        <v>12584.70864</v>
      </c>
      <c r="F7" s="16" t="n">
        <f aca="false">'Income Statement'!F8*Assumptions!F35</f>
        <v>13465.6382448</v>
      </c>
      <c r="G7" s="16" t="n">
        <f aca="false">'Income Statement'!G8*Assumptions!G35</f>
        <v>14408.232921936</v>
      </c>
    </row>
    <row r="8" customFormat="false" ht="15" hidden="false" customHeight="false" outlineLevel="0" collapsed="false">
      <c r="A8" s="10" t="s">
        <v>138</v>
      </c>
      <c r="B8" s="16" t="n">
        <v>10833</v>
      </c>
      <c r="C8" s="16" t="n">
        <v>11688</v>
      </c>
      <c r="D8" s="16" t="n">
        <v>12863</v>
      </c>
      <c r="E8" s="16" t="n">
        <f aca="false">'Income Statement'!E8*Assumptions!E36</f>
        <v>13483.6164</v>
      </c>
      <c r="F8" s="16" t="n">
        <f aca="false">'Income Statement'!F8*Assumptions!F36</f>
        <v>14427.469548</v>
      </c>
      <c r="G8" s="16" t="n">
        <f aca="false">'Income Statement'!G8*Assumptions!G36</f>
        <v>15437.39241636</v>
      </c>
    </row>
    <row r="9" customFormat="false" ht="15" hidden="false" customHeight="false" outlineLevel="0" collapsed="false">
      <c r="A9" s="10" t="s">
        <v>139</v>
      </c>
      <c r="B9" s="16" t="n">
        <v>-2227</v>
      </c>
      <c r="C9" s="16" t="n">
        <v>-2266</v>
      </c>
      <c r="D9" s="16" t="n">
        <v>-89</v>
      </c>
      <c r="E9" s="25" t="n">
        <v>0</v>
      </c>
      <c r="F9" s="25" t="n">
        <v>0</v>
      </c>
      <c r="G9" s="25" t="n">
        <v>0</v>
      </c>
    </row>
    <row r="10" customFormat="false" ht="15" hidden="false" customHeight="false" outlineLevel="0" collapsed="false">
      <c r="A10" s="12" t="s">
        <v>140</v>
      </c>
    </row>
    <row r="11" customFormat="false" ht="15" hidden="false" customHeight="false" outlineLevel="0" collapsed="false">
      <c r="A11" s="10" t="s">
        <v>108</v>
      </c>
      <c r="B11" s="16" t="n">
        <v>-1688</v>
      </c>
      <c r="C11" s="16" t="n">
        <v>-3788</v>
      </c>
      <c r="D11" s="16" t="n">
        <v>-6682</v>
      </c>
      <c r="E11" s="23" t="n">
        <f aca="false">-('Balance Sheet'!E9-'Balance Sheet'!D9)</f>
        <v>-858.556273972601</v>
      </c>
      <c r="F11" s="23" t="n">
        <f aca="false">-('Balance Sheet'!F9-'Balance Sheet'!E9)</f>
        <v>-2844.48893917809</v>
      </c>
      <c r="G11" s="23" t="n">
        <f aca="false">-('Balance Sheet'!G9-'Balance Sheet'!F9)</f>
        <v>-3043.60316492055</v>
      </c>
    </row>
    <row r="12" customFormat="false" ht="15" hidden="false" customHeight="false" outlineLevel="0" collapsed="false">
      <c r="A12" s="10" t="s">
        <v>109</v>
      </c>
      <c r="B12" s="16" t="n">
        <v>1271</v>
      </c>
      <c r="C12" s="16" t="n">
        <v>-1356</v>
      </c>
      <c r="D12" s="16" t="n">
        <v>-347</v>
      </c>
      <c r="E12" s="23" t="n">
        <f aca="false">-('Balance Sheet'!E10-'Balance Sheet'!D10)</f>
        <v>-2776.3104</v>
      </c>
      <c r="F12" s="23" t="n">
        <f aca="false">-('Balance Sheet'!F10-'Balance Sheet'!E10)</f>
        <v>-2516.94172800001</v>
      </c>
      <c r="G12" s="23" t="n">
        <f aca="false">-('Balance Sheet'!G10-'Balance Sheet'!F10)</f>
        <v>-2693.12764896</v>
      </c>
    </row>
    <row r="13" customFormat="false" ht="15" hidden="false" customHeight="false" outlineLevel="0" collapsed="false">
      <c r="A13" s="10" t="s">
        <v>110</v>
      </c>
      <c r="B13" s="16" t="n">
        <v>-1618</v>
      </c>
      <c r="C13" s="16" t="n">
        <v>-1046</v>
      </c>
      <c r="D13" s="16" t="n">
        <v>1400</v>
      </c>
      <c r="E13" s="23" t="n">
        <f aca="false">-('Balance Sheet'!E11-'Balance Sheet'!D11)</f>
        <v>-133.520103452055</v>
      </c>
      <c r="F13" s="23" t="n">
        <f aca="false">-('Balance Sheet'!F11-'Balance Sheet'!E11)</f>
        <v>-374.031824794522</v>
      </c>
      <c r="G13" s="23" t="n">
        <f aca="false">-('Balance Sheet'!G11-'Balance Sheet'!F11)</f>
        <v>-410.412099498312</v>
      </c>
    </row>
    <row r="14" customFormat="false" ht="15" hidden="false" customHeight="false" outlineLevel="0" collapsed="false">
      <c r="A14" s="10" t="s">
        <v>141</v>
      </c>
      <c r="B14" s="16" t="n">
        <v>-5684</v>
      </c>
      <c r="C14" s="16" t="n">
        <v>-11731</v>
      </c>
      <c r="D14" s="16" t="n">
        <v>-9197</v>
      </c>
      <c r="E14" s="23" t="n">
        <f aca="false">-(('Balance Sheet'!E12+'Balance Sheet'!E18)-('Balance Sheet'!D12+'Balance Sheet'!D18))</f>
        <v>-7309.66180000002</v>
      </c>
      <c r="F14" s="23" t="n">
        <f aca="false">-(('Balance Sheet'!F12+'Balance Sheet'!F18)-('Balance Sheet'!E12+'Balance Sheet'!E18))</f>
        <v>-7393.516326</v>
      </c>
      <c r="G14" s="23" t="n">
        <f aca="false">-(('Balance Sheet'!G12+'Balance Sheet'!G18)-('Balance Sheet'!F12+'Balance Sheet'!F18))</f>
        <v>-7911.06246882</v>
      </c>
    </row>
    <row r="15" customFormat="false" ht="15" hidden="false" customHeight="false" outlineLevel="0" collapsed="false">
      <c r="A15" s="10" t="s">
        <v>121</v>
      </c>
      <c r="B15" s="16" t="n">
        <v>-1889</v>
      </c>
      <c r="C15" s="16" t="n">
        <v>6020</v>
      </c>
      <c r="D15" s="16" t="n">
        <v>902</v>
      </c>
      <c r="E15" s="23" t="n">
        <f aca="false">'Balance Sheet'!E24-'Balance Sheet'!D24</f>
        <v>3609.08574334247</v>
      </c>
      <c r="F15" s="23" t="n">
        <f aca="false">'Balance Sheet'!F24-'Balance Sheet'!E24</f>
        <v>4696.17735575343</v>
      </c>
      <c r="G15" s="23" t="n">
        <f aca="false">'Balance Sheet'!G24-'Balance Sheet'!F24</f>
        <v>5152.95191592326</v>
      </c>
    </row>
    <row r="16" customFormat="false" ht="15" hidden="false" customHeight="false" outlineLevel="0" collapsed="false">
      <c r="A16" s="10" t="s">
        <v>142</v>
      </c>
      <c r="B16" s="16" t="n">
        <v>3031</v>
      </c>
      <c r="C16" s="16" t="n">
        <v>15552</v>
      </c>
      <c r="D16" s="16" t="n">
        <v>-11076</v>
      </c>
      <c r="E16" s="23" t="n">
        <f aca="false">(('Balance Sheet'!E25+'Balance Sheet'!E26+'Balance Sheet'!E33)-('Balance Sheet'!D25+'Balance Sheet'!D26+'Balance Sheet'!D33))</f>
        <v>9754.99416</v>
      </c>
      <c r="F16" s="23" t="n">
        <f aca="false">(('Balance Sheet'!F25+'Balance Sheet'!F26+'Balance Sheet'!F33)-('Balance Sheet'!E25+'Balance Sheet'!E26+'Balance Sheet'!E33))</f>
        <v>8872.21959120003</v>
      </c>
      <c r="G16" s="23" t="n">
        <f aca="false">(('Balance Sheet'!G25+'Balance Sheet'!G26+'Balance Sheet'!G33)-('Balance Sheet'!F25+'Balance Sheet'!F26+'Balance Sheet'!F33))</f>
        <v>9493.27496258399</v>
      </c>
    </row>
    <row r="17" customFormat="false" ht="15" hidden="false" customHeight="false" outlineLevel="0" collapsed="false">
      <c r="A17" s="12" t="s">
        <v>143</v>
      </c>
      <c r="B17" s="17" t="n">
        <f aca="false">SUM(B6:B16)</f>
        <v>110543</v>
      </c>
      <c r="C17" s="17" t="n">
        <f aca="false">SUM(C6:C16)</f>
        <v>118254</v>
      </c>
      <c r="D17" s="17" t="n">
        <f aca="false">SUM(D6:D16)</f>
        <v>111482</v>
      </c>
      <c r="E17" s="17" t="n">
        <f aca="false">SUM(E6:E16)</f>
        <v>150300.183087518</v>
      </c>
      <c r="F17" s="17" t="n">
        <f aca="false">SUM(F6:F16)</f>
        <v>160026.467955925</v>
      </c>
      <c r="G17" s="17" t="n">
        <f aca="false">SUM(G6:G16)</f>
        <v>172210.658786455</v>
      </c>
    </row>
    <row r="19" customFormat="false" ht="15" hidden="false" customHeight="false" outlineLevel="0" collapsed="false">
      <c r="A19" s="12" t="s">
        <v>144</v>
      </c>
    </row>
    <row r="20" customFormat="false" ht="15" hidden="false" customHeight="false" outlineLevel="0" collapsed="false">
      <c r="A20" s="10" t="s">
        <v>145</v>
      </c>
      <c r="B20" s="16" t="n">
        <v>-29513</v>
      </c>
      <c r="C20" s="16" t="n">
        <v>-48656</v>
      </c>
      <c r="D20" s="16" t="n">
        <v>-24407</v>
      </c>
      <c r="E20" s="25" t="n">
        <v>0</v>
      </c>
      <c r="F20" s="25" t="n">
        <v>0</v>
      </c>
      <c r="G20" s="25" t="n">
        <v>0</v>
      </c>
    </row>
    <row r="21" customFormat="false" ht="15" hidden="false" customHeight="false" outlineLevel="0" collapsed="false">
      <c r="A21" s="10" t="s">
        <v>146</v>
      </c>
      <c r="B21" s="16" t="n">
        <v>45514</v>
      </c>
      <c r="C21" s="16" t="n">
        <v>62346</v>
      </c>
      <c r="D21" s="16" t="n">
        <v>53797</v>
      </c>
      <c r="E21" s="25" t="n">
        <v>0</v>
      </c>
      <c r="F21" s="25" t="n">
        <v>0</v>
      </c>
      <c r="G21" s="25" t="n">
        <v>0</v>
      </c>
    </row>
    <row r="22" customFormat="false" ht="15" hidden="false" customHeight="false" outlineLevel="0" collapsed="false">
      <c r="A22" s="10" t="s">
        <v>147</v>
      </c>
      <c r="B22" s="16" t="n">
        <v>-1337</v>
      </c>
      <c r="C22" s="16" t="n">
        <v>-1308</v>
      </c>
      <c r="D22" s="16" t="n">
        <v>-1480</v>
      </c>
      <c r="E22" s="25" t="n">
        <v>0</v>
      </c>
      <c r="F22" s="25" t="n">
        <v>0</v>
      </c>
      <c r="G22" s="25" t="n">
        <v>0</v>
      </c>
    </row>
    <row r="23" customFormat="false" ht="15" hidden="false" customHeight="false" outlineLevel="0" collapsed="false">
      <c r="A23" s="10" t="s">
        <v>148</v>
      </c>
      <c r="B23" s="16" t="n">
        <v>-10959</v>
      </c>
      <c r="C23" s="16" t="n">
        <v>-9447</v>
      </c>
      <c r="D23" s="16" t="n">
        <v>-12715</v>
      </c>
      <c r="E23" s="16" t="n">
        <f aca="false">-('Income Statement'!E8*Assumptions!E34)</f>
        <v>-13483.6164</v>
      </c>
      <c r="F23" s="16" t="n">
        <f aca="false">-('Income Statement'!F8*Assumptions!F34)</f>
        <v>-14427.469548</v>
      </c>
      <c r="G23" s="16" t="n">
        <f aca="false">-('Income Statement'!G8*Assumptions!G34)</f>
        <v>-15437.39241636</v>
      </c>
    </row>
    <row r="24" customFormat="false" ht="15" hidden="false" customHeight="false" outlineLevel="0" collapsed="false">
      <c r="A24" s="12" t="s">
        <v>149</v>
      </c>
      <c r="B24" s="17" t="n">
        <f aca="false">SUM(B20:B23)</f>
        <v>3705</v>
      </c>
      <c r="C24" s="17" t="n">
        <f aca="false">SUM(C20:C23)</f>
        <v>2935</v>
      </c>
      <c r="D24" s="17" t="n">
        <f aca="false">SUM(D20:D23)</f>
        <v>15195</v>
      </c>
      <c r="E24" s="17" t="n">
        <f aca="false">SUM(E20:E23)</f>
        <v>-13483.6164</v>
      </c>
      <c r="F24" s="17" t="n">
        <f aca="false">SUM(F20:F23)</f>
        <v>-14427.469548</v>
      </c>
      <c r="G24" s="17" t="n">
        <f aca="false">SUM(G20:G23)</f>
        <v>-15437.39241636</v>
      </c>
    </row>
    <row r="26" customFormat="false" ht="15" hidden="false" customHeight="false" outlineLevel="0" collapsed="false">
      <c r="A26" s="12" t="s">
        <v>150</v>
      </c>
    </row>
    <row r="27" customFormat="false" ht="15" hidden="false" customHeight="false" outlineLevel="0" collapsed="false">
      <c r="A27" s="10" t="s">
        <v>151</v>
      </c>
      <c r="B27" s="16" t="n">
        <v>-5431</v>
      </c>
      <c r="C27" s="16" t="n">
        <v>-5441</v>
      </c>
      <c r="D27" s="16" t="n">
        <v>-5960</v>
      </c>
      <c r="E27" s="16" t="n">
        <f aca="false">-(E8*Assumptions!E37)</f>
        <v>-6067.62738</v>
      </c>
      <c r="F27" s="16" t="n">
        <f aca="false">-(F8*Assumptions!F37)</f>
        <v>-6492.3612966</v>
      </c>
      <c r="G27" s="16" t="n">
        <f aca="false">-(G8*Assumptions!G37)</f>
        <v>-6946.826587362</v>
      </c>
    </row>
    <row r="28" customFormat="false" ht="15" hidden="false" customHeight="false" outlineLevel="0" collapsed="false">
      <c r="A28" s="10" t="s">
        <v>152</v>
      </c>
      <c r="B28" s="16" t="n">
        <v>-15025</v>
      </c>
      <c r="C28" s="16" t="n">
        <v>-15234</v>
      </c>
      <c r="D28" s="16" t="n">
        <v>-15421</v>
      </c>
      <c r="E28" s="16" t="n">
        <f aca="false">D28*(1+Assumptions!$B$38)</f>
        <v>-16037.84</v>
      </c>
      <c r="F28" s="16" t="n">
        <f aca="false">E28*(1+Assumptions!$B$38)</f>
        <v>-16679.3536</v>
      </c>
      <c r="G28" s="16" t="n">
        <f aca="false">F28*(1+Assumptions!$B$38)</f>
        <v>-17346.527744</v>
      </c>
    </row>
    <row r="29" customFormat="false" ht="15" hidden="false" customHeight="false" outlineLevel="0" collapsed="false">
      <c r="A29" s="10" t="s">
        <v>153</v>
      </c>
      <c r="B29" s="16" t="n">
        <v>-77550</v>
      </c>
      <c r="C29" s="16" t="n">
        <v>-94949</v>
      </c>
      <c r="D29" s="16" t="n">
        <v>-90711</v>
      </c>
      <c r="E29" s="16" t="n">
        <f aca="false">-((E17+E24)*Assumptions!$B$39)</f>
        <v>-102612.425015638</v>
      </c>
      <c r="F29" s="16" t="n">
        <f aca="false">-((F17+F24)*Assumptions!$B$39)</f>
        <v>-109199.248805944</v>
      </c>
      <c r="G29" s="16" t="n">
        <f aca="false">-((G17+G24)*Assumptions!$B$39)</f>
        <v>-117579.949777571</v>
      </c>
    </row>
    <row r="30" customFormat="false" ht="15" hidden="false" customHeight="false" outlineLevel="0" collapsed="false">
      <c r="A30" s="10" t="s">
        <v>154</v>
      </c>
      <c r="B30" s="16" t="n">
        <v>-9901</v>
      </c>
      <c r="C30" s="16" t="n">
        <v>-5998</v>
      </c>
      <c r="D30" s="16" t="n">
        <v>-8483</v>
      </c>
      <c r="E30" s="25" t="n">
        <v>0</v>
      </c>
      <c r="F30" s="25" t="n">
        <v>0</v>
      </c>
      <c r="G30" s="25" t="n">
        <v>0</v>
      </c>
    </row>
    <row r="31" customFormat="false" ht="15" hidden="false" customHeight="false" outlineLevel="0" collapsed="false">
      <c r="A31" s="10" t="s">
        <v>155</v>
      </c>
      <c r="B31" s="16" t="n">
        <v>-581</v>
      </c>
      <c r="C31" s="16" t="n">
        <v>-361</v>
      </c>
      <c r="D31" s="16" t="n">
        <v>-111</v>
      </c>
      <c r="E31" s="25" t="n">
        <v>0</v>
      </c>
      <c r="F31" s="25" t="n">
        <v>0</v>
      </c>
      <c r="G31" s="25" t="n">
        <v>0</v>
      </c>
    </row>
    <row r="32" customFormat="false" ht="15" hidden="false" customHeight="false" outlineLevel="0" collapsed="false">
      <c r="A32" s="12" t="s">
        <v>156</v>
      </c>
      <c r="B32" s="17" t="n">
        <f aca="false">SUM(B27:B31)</f>
        <v>-108488</v>
      </c>
      <c r="C32" s="17" t="n">
        <f aca="false">SUM(C27:C31)</f>
        <v>-121983</v>
      </c>
      <c r="D32" s="17" t="n">
        <f aca="false">SUM(D27:D31)</f>
        <v>-120686</v>
      </c>
      <c r="E32" s="17" t="n">
        <f aca="false">SUM(E27:E31)</f>
        <v>-124717.892395638</v>
      </c>
      <c r="F32" s="17" t="n">
        <f aca="false">SUM(F27:F31)</f>
        <v>-132370.963702544</v>
      </c>
      <c r="G32" s="17" t="n">
        <f aca="false">SUM(G27:G31)</f>
        <v>-141873.304108933</v>
      </c>
    </row>
    <row r="34" customFormat="false" ht="15" hidden="false" customHeight="false" outlineLevel="0" collapsed="false">
      <c r="A34" s="12" t="s">
        <v>157</v>
      </c>
      <c r="B34" s="17" t="n">
        <f aca="false">B17+B24+B32</f>
        <v>5760</v>
      </c>
      <c r="C34" s="17" t="n">
        <f aca="false">C17+C24+C32</f>
        <v>-794</v>
      </c>
      <c r="D34" s="17" t="n">
        <f aca="false">D17+D24+D32</f>
        <v>5991</v>
      </c>
      <c r="E34" s="17" t="n">
        <f aca="false">E17+E24+E32</f>
        <v>12098.6742918794</v>
      </c>
      <c r="F34" s="17" t="n">
        <f aca="false">F17+F24+F32</f>
        <v>13228.0347053812</v>
      </c>
      <c r="G34" s="17" t="n">
        <f aca="false">G17+G24+G32</f>
        <v>14899.9622611617</v>
      </c>
    </row>
    <row r="35" customFormat="false" ht="15" hidden="false" customHeight="false" outlineLevel="0" collapsed="false">
      <c r="A35" s="10" t="s">
        <v>158</v>
      </c>
      <c r="B35" s="25" t="n">
        <v>24977</v>
      </c>
      <c r="C35" s="16" t="n">
        <f aca="false">B36</f>
        <v>30737</v>
      </c>
      <c r="D35" s="16" t="n">
        <f aca="false">C36</f>
        <v>29943</v>
      </c>
      <c r="E35" s="16" t="n">
        <f aca="false">D36</f>
        <v>35934</v>
      </c>
      <c r="F35" s="16" t="n">
        <f aca="false">E36</f>
        <v>48032.6742918795</v>
      </c>
      <c r="G35" s="16" t="n">
        <f aca="false">F36</f>
        <v>61260.7089972607</v>
      </c>
    </row>
    <row r="36" customFormat="false" ht="15" hidden="false" customHeight="false" outlineLevel="0" collapsed="false">
      <c r="A36" s="12" t="s">
        <v>159</v>
      </c>
      <c r="B36" s="17" t="n">
        <f aca="false">B35+B34</f>
        <v>30737</v>
      </c>
      <c r="C36" s="17" t="n">
        <f aca="false">C35+C34</f>
        <v>29943</v>
      </c>
      <c r="D36" s="17" t="n">
        <f aca="false">D35+D34</f>
        <v>35934</v>
      </c>
      <c r="E36" s="17" t="n">
        <f aca="false">E35+E34</f>
        <v>48032.6742918795</v>
      </c>
      <c r="F36" s="17" t="n">
        <f aca="false">F35+F34</f>
        <v>61260.7089972607</v>
      </c>
      <c r="G36" s="17" t="n">
        <f aca="false">G35+G34</f>
        <v>76160.6712584223</v>
      </c>
    </row>
    <row r="37" customFormat="false" ht="15" hidden="false" customHeight="false" outlineLevel="0" collapsed="false">
      <c r="A37" s="2" t="s">
        <v>160</v>
      </c>
      <c r="B37" s="2"/>
      <c r="C37" s="2"/>
      <c r="D37" s="2"/>
      <c r="E37" s="2"/>
      <c r="F37" s="2"/>
      <c r="G37" s="2"/>
    </row>
  </sheetData>
  <mergeCells count="3">
    <mergeCell ref="A1:I1"/>
    <mergeCell ref="A2:I2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162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26" t="s">
        <v>163</v>
      </c>
      <c r="B4" s="26"/>
      <c r="C4" s="27" t="str">
        <f aca="false">Assumptions!B4</f>
        <v>Base</v>
      </c>
    </row>
    <row r="6" customFormat="false" ht="15" hidden="false" customHeight="false" outlineLevel="0" collapsed="false">
      <c r="A6" s="12" t="s">
        <v>164</v>
      </c>
      <c r="B6" s="9" t="s">
        <v>43</v>
      </c>
      <c r="C6" s="9" t="s">
        <v>165</v>
      </c>
      <c r="D6" s="9" t="s">
        <v>166</v>
      </c>
    </row>
    <row r="7" customFormat="false" ht="15" hidden="false" customHeight="false" outlineLevel="0" collapsed="false">
      <c r="B7" s="19" t="n">
        <f aca="false">Assumptions!E8</f>
        <v>0.08</v>
      </c>
      <c r="C7" s="19" t="n">
        <f aca="false">Assumptions!E9</f>
        <v>-0.1</v>
      </c>
      <c r="D7" s="19" t="n">
        <f aca="false">Assumptions!E10</f>
        <v>0.12</v>
      </c>
    </row>
    <row r="9" customFormat="false" ht="15" hidden="false" customHeight="false" outlineLevel="0" collapsed="false">
      <c r="A9" s="12" t="s">
        <v>167</v>
      </c>
    </row>
    <row r="10" customFormat="false" ht="15" hidden="false" customHeight="false" outlineLevel="0" collapsed="false">
      <c r="A10" s="10" t="s">
        <v>168</v>
      </c>
      <c r="B10" s="16" t="n">
        <f aca="false">'Income Statement'!$D$8*(1+Assumptions!$E$8)</f>
        <v>449453.88</v>
      </c>
      <c r="C10" s="16" t="n">
        <f aca="false">'Income Statement'!$D$8*(1+Assumptions!$E$9)</f>
        <v>374544.9</v>
      </c>
      <c r="D10" s="16" t="n">
        <f aca="false">'Income Statement'!$D$8*(1+Assumptions!$E$10)</f>
        <v>466100.32</v>
      </c>
    </row>
    <row r="11" customFormat="false" ht="15" hidden="false" customHeight="false" outlineLevel="0" collapsed="false">
      <c r="A11" s="10" t="s">
        <v>89</v>
      </c>
      <c r="B11" s="16" t="n">
        <f aca="false">B10*Assumptions!$E$15</f>
        <v>212142.23136</v>
      </c>
      <c r="C11" s="16" t="n">
        <f aca="false">C10*Assumptions!$E$15</f>
        <v>176785.1928</v>
      </c>
      <c r="D11" s="16" t="n">
        <f aca="false">D10*Assumptions!$E$15</f>
        <v>219999.35104</v>
      </c>
    </row>
    <row r="12" customFormat="false" ht="15" hidden="false" customHeight="false" outlineLevel="0" collapsed="false">
      <c r="A12" s="10" t="s">
        <v>93</v>
      </c>
      <c r="B12" s="16" t="n">
        <f aca="false">B10*(Assumptions!$E$16+Assumptions!$E$17)</f>
        <v>66519.17424</v>
      </c>
      <c r="C12" s="16" t="n">
        <f aca="false">C10*(Assumptions!$E$16+Assumptions!$E$17)</f>
        <v>55432.6452</v>
      </c>
      <c r="D12" s="16" t="n">
        <f aca="false">D10*(Assumptions!$E$16+Assumptions!$E$17)</f>
        <v>68982.84736</v>
      </c>
    </row>
    <row r="13" customFormat="false" ht="15" hidden="false" customHeight="false" outlineLevel="0" collapsed="false">
      <c r="A13" s="10" t="s">
        <v>94</v>
      </c>
      <c r="B13" s="16" t="n">
        <f aca="false">B11-B12</f>
        <v>145623.05712</v>
      </c>
      <c r="C13" s="16" t="n">
        <f aca="false">C11-C12</f>
        <v>121352.5476</v>
      </c>
      <c r="D13" s="16" t="n">
        <f aca="false">D11-D12</f>
        <v>151016.50368</v>
      </c>
    </row>
    <row r="14" customFormat="false" ht="15" hidden="false" customHeight="false" outlineLevel="0" collapsed="false">
      <c r="A14" s="10" t="s">
        <v>169</v>
      </c>
      <c r="B14" s="16" t="n">
        <f aca="false">B10*Assumptions!$E$18</f>
        <v>-449.45388</v>
      </c>
      <c r="C14" s="16" t="n">
        <f aca="false">C10*Assumptions!$E$18</f>
        <v>-374.5449</v>
      </c>
      <c r="D14" s="16" t="n">
        <f aca="false">D10*Assumptions!$E$18</f>
        <v>-466.10032</v>
      </c>
    </row>
    <row r="15" customFormat="false" ht="15" hidden="false" customHeight="false" outlineLevel="0" collapsed="false">
      <c r="A15" s="10" t="s">
        <v>170</v>
      </c>
      <c r="B15" s="16" t="n">
        <f aca="false">B13+B14</f>
        <v>145173.60324</v>
      </c>
      <c r="C15" s="16" t="n">
        <f aca="false">C13+C14</f>
        <v>120978.0027</v>
      </c>
      <c r="D15" s="16" t="n">
        <f aca="false">D13+D14</f>
        <v>150550.40336</v>
      </c>
    </row>
    <row r="16" customFormat="false" ht="15" hidden="false" customHeight="false" outlineLevel="0" collapsed="false">
      <c r="A16" s="10" t="s">
        <v>98</v>
      </c>
      <c r="B16" s="16" t="n">
        <f aca="false">B15*Assumptions!$E$19</f>
        <v>23227.7765184</v>
      </c>
      <c r="C16" s="16" t="n">
        <f aca="false">C15*Assumptions!$E$19</f>
        <v>19356.480432</v>
      </c>
      <c r="D16" s="16" t="n">
        <f aca="false">D15*Assumptions!$E$19</f>
        <v>24088.0645376</v>
      </c>
    </row>
    <row r="17" customFormat="false" ht="15" hidden="false" customHeight="false" outlineLevel="0" collapsed="false">
      <c r="A17" s="10" t="s">
        <v>99</v>
      </c>
      <c r="B17" s="18" t="n">
        <f aca="false">B15-B16</f>
        <v>121945.8267216</v>
      </c>
      <c r="C17" s="18" t="n">
        <f aca="false">C15-C16</f>
        <v>101621.522268</v>
      </c>
      <c r="D17" s="18" t="n">
        <f aca="false">D15-D16</f>
        <v>126462.3388224</v>
      </c>
    </row>
    <row r="18" customFormat="false" ht="15" hidden="false" customHeight="false" outlineLevel="0" collapsed="false">
      <c r="A18" s="10" t="s">
        <v>171</v>
      </c>
      <c r="B18" s="28" t="n">
        <f aca="false">B17-$B$17</f>
        <v>0</v>
      </c>
      <c r="C18" s="28" t="n">
        <f aca="false">C17-$B$17</f>
        <v>-20324.3044536</v>
      </c>
      <c r="D18" s="28" t="n">
        <f aca="false">D17-$B$17</f>
        <v>4516.51210079997</v>
      </c>
    </row>
    <row r="19" customFormat="false" ht="15" hidden="false" customHeight="false" outlineLevel="0" collapsed="false">
      <c r="A19" s="10" t="s">
        <v>172</v>
      </c>
      <c r="B19" s="29" t="n">
        <f aca="false">IFERROR((B17-$B$17)/$B$17,0)</f>
        <v>0</v>
      </c>
      <c r="C19" s="29" t="n">
        <f aca="false">IFERROR((C17-$B$17)/$B$17,0)</f>
        <v>-0.166666666666667</v>
      </c>
      <c r="D19" s="29" t="n">
        <f aca="false">IFERROR((D17-$B$17)/$B$17,0)</f>
        <v>0.0370370370370368</v>
      </c>
    </row>
    <row r="22" customFormat="false" ht="30" hidden="false" customHeight="true" outlineLevel="0" collapsed="false">
      <c r="A22" s="2" t="s">
        <v>173</v>
      </c>
      <c r="B22" s="2"/>
      <c r="C22" s="2"/>
      <c r="D22" s="2"/>
      <c r="E22" s="2"/>
      <c r="F22" s="2"/>
    </row>
  </sheetData>
  <mergeCells count="4">
    <mergeCell ref="A1:I1"/>
    <mergeCell ref="A2:I2"/>
    <mergeCell ref="A4:B4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174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175</v>
      </c>
      <c r="B2" s="2"/>
      <c r="C2" s="2"/>
      <c r="D2" s="2"/>
      <c r="E2" s="2"/>
      <c r="F2" s="2"/>
      <c r="G2" s="2"/>
      <c r="H2" s="2"/>
      <c r="I2" s="2"/>
    </row>
    <row r="5" customFormat="false" ht="15" hidden="false" customHeight="false" outlineLevel="0" collapsed="false">
      <c r="A5" s="12" t="s">
        <v>176</v>
      </c>
    </row>
    <row r="6" customFormat="false" ht="28.35" hidden="false" customHeight="false" outlineLevel="0" collapsed="false">
      <c r="A6" s="30" t="s">
        <v>177</v>
      </c>
      <c r="B6" s="31" t="n">
        <v>0.45</v>
      </c>
      <c r="C6" s="31" t="n">
        <v>0.46</v>
      </c>
      <c r="D6" s="31" t="n">
        <v>0.47</v>
      </c>
      <c r="E6" s="31" t="n">
        <v>0.472</v>
      </c>
      <c r="F6" s="31" t="n">
        <v>0.48</v>
      </c>
      <c r="G6" s="31" t="n">
        <v>0.49</v>
      </c>
    </row>
    <row r="7" customFormat="false" ht="15" hidden="false" customHeight="false" outlineLevel="0" collapsed="false">
      <c r="A7" s="32" t="n">
        <v>-0.1</v>
      </c>
      <c r="B7" s="16" t="n">
        <f aca="false">((((('Income Statement'!$D$8*(1+$A7))*B$6)-(('Income Statement'!$D$8*(1+$A7))*(Assumptions!$E$16+Assumptions!$E$17)))+(('Income Statement'!$D$8*(1+$A7))*Assumptions!$E$18))-((((('Income Statement'!$D$8*(1+$A7))*B$6)-(('Income Statement'!$D$8*(1+$A7))*(Assumptions!$E$16+Assumptions!$E$17)))+(('Income Statement'!$D$8*(1+$A7))*Assumptions!$E$18))*Assumptions!$E$19))</f>
        <v>94699.932516</v>
      </c>
      <c r="C7" s="16" t="n">
        <f aca="false">((((('Income Statement'!$D$8*(1+$A7))*C$6)-(('Income Statement'!$D$8*(1+$A7))*(Assumptions!$E$16+Assumptions!$E$17)))+(('Income Statement'!$D$8*(1+$A7))*Assumptions!$E$18))-((((('Income Statement'!$D$8*(1+$A7))*C$6)-(('Income Statement'!$D$8*(1+$A7))*(Assumptions!$E$16+Assumptions!$E$17)))+(('Income Statement'!$D$8*(1+$A7))*Assumptions!$E$18))*Assumptions!$E$19))</f>
        <v>97846.109676</v>
      </c>
      <c r="D7" s="16" t="n">
        <f aca="false">((((('Income Statement'!$D$8*(1+$A7))*D$6)-(('Income Statement'!$D$8*(1+$A7))*(Assumptions!$E$16+Assumptions!$E$17)))+(('Income Statement'!$D$8*(1+$A7))*Assumptions!$E$18))-((((('Income Statement'!$D$8*(1+$A7))*D$6)-(('Income Statement'!$D$8*(1+$A7))*(Assumptions!$E$16+Assumptions!$E$17)))+(('Income Statement'!$D$8*(1+$A7))*Assumptions!$E$18))*Assumptions!$E$19))</f>
        <v>100992.286836</v>
      </c>
      <c r="E7" s="16" t="n">
        <f aca="false">((((('Income Statement'!$D$8*(1+$A7))*E$6)-(('Income Statement'!$D$8*(1+$A7))*(Assumptions!$E$16+Assumptions!$E$17)))+(('Income Statement'!$D$8*(1+$A7))*Assumptions!$E$18))-((((('Income Statement'!$D$8*(1+$A7))*E$6)-(('Income Statement'!$D$8*(1+$A7))*(Assumptions!$E$16+Assumptions!$E$17)))+(('Income Statement'!$D$8*(1+$A7))*Assumptions!$E$18))*Assumptions!$E$19))</f>
        <v>101621.522268</v>
      </c>
      <c r="F7" s="16" t="n">
        <f aca="false">((((('Income Statement'!$D$8*(1+$A7))*F$6)-(('Income Statement'!$D$8*(1+$A7))*(Assumptions!$E$16+Assumptions!$E$17)))+(('Income Statement'!$D$8*(1+$A7))*Assumptions!$E$18))-((((('Income Statement'!$D$8*(1+$A7))*F$6)-(('Income Statement'!$D$8*(1+$A7))*(Assumptions!$E$16+Assumptions!$E$17)))+(('Income Statement'!$D$8*(1+$A7))*Assumptions!$E$18))*Assumptions!$E$19))</f>
        <v>104138.463996</v>
      </c>
      <c r="G7" s="16" t="n">
        <f aca="false">((((('Income Statement'!$D$8*(1+$A7))*G$6)-(('Income Statement'!$D$8*(1+$A7))*(Assumptions!$E$16+Assumptions!$E$17)))+(('Income Statement'!$D$8*(1+$A7))*Assumptions!$E$18))-((((('Income Statement'!$D$8*(1+$A7))*G$6)-(('Income Statement'!$D$8*(1+$A7))*(Assumptions!$E$16+Assumptions!$E$17)))+(('Income Statement'!$D$8*(1+$A7))*Assumptions!$E$18))*Assumptions!$E$19))</f>
        <v>107284.641156</v>
      </c>
    </row>
    <row r="8" customFormat="false" ht="15" hidden="false" customHeight="false" outlineLevel="0" collapsed="false">
      <c r="A8" s="32" t="n">
        <v>-0.05</v>
      </c>
      <c r="B8" s="16" t="n">
        <f aca="false">((((('Income Statement'!$D$8*(1+$A8))*B$6)-(('Income Statement'!$D$8*(1+$A8))*(Assumptions!$E$16+Assumptions!$E$17)))+(('Income Statement'!$D$8*(1+$A8))*Assumptions!$E$18))-((((('Income Statement'!$D$8*(1+$A8))*B$6)-(('Income Statement'!$D$8*(1+$A8))*(Assumptions!$E$16+Assumptions!$E$17)))+(('Income Statement'!$D$8*(1+$A8))*Assumptions!$E$18))*Assumptions!$E$19))</f>
        <v>99961.039878</v>
      </c>
      <c r="C8" s="16" t="n">
        <f aca="false">((((('Income Statement'!$D$8*(1+$A8))*C$6)-(('Income Statement'!$D$8*(1+$A8))*(Assumptions!$E$16+Assumptions!$E$17)))+(('Income Statement'!$D$8*(1+$A8))*Assumptions!$E$18))-((((('Income Statement'!$D$8*(1+$A8))*C$6)-(('Income Statement'!$D$8*(1+$A8))*(Assumptions!$E$16+Assumptions!$E$17)))+(('Income Statement'!$D$8*(1+$A8))*Assumptions!$E$18))*Assumptions!$E$19))</f>
        <v>103282.004658</v>
      </c>
      <c r="D8" s="16" t="n">
        <f aca="false">((((('Income Statement'!$D$8*(1+$A8))*D$6)-(('Income Statement'!$D$8*(1+$A8))*(Assumptions!$E$16+Assumptions!$E$17)))+(('Income Statement'!$D$8*(1+$A8))*Assumptions!$E$18))-((((('Income Statement'!$D$8*(1+$A8))*D$6)-(('Income Statement'!$D$8*(1+$A8))*(Assumptions!$E$16+Assumptions!$E$17)))+(('Income Statement'!$D$8*(1+$A8))*Assumptions!$E$18))*Assumptions!$E$19))</f>
        <v>106602.969438</v>
      </c>
      <c r="E8" s="16" t="n">
        <f aca="false">((((('Income Statement'!$D$8*(1+$A8))*E$6)-(('Income Statement'!$D$8*(1+$A8))*(Assumptions!$E$16+Assumptions!$E$17)))+(('Income Statement'!$D$8*(1+$A8))*Assumptions!$E$18))-((((('Income Statement'!$D$8*(1+$A8))*E$6)-(('Income Statement'!$D$8*(1+$A8))*(Assumptions!$E$16+Assumptions!$E$17)))+(('Income Statement'!$D$8*(1+$A8))*Assumptions!$E$18))*Assumptions!$E$19))</f>
        <v>107267.162394</v>
      </c>
      <c r="F8" s="16" t="n">
        <f aca="false">((((('Income Statement'!$D$8*(1+$A8))*F$6)-(('Income Statement'!$D$8*(1+$A8))*(Assumptions!$E$16+Assumptions!$E$17)))+(('Income Statement'!$D$8*(1+$A8))*Assumptions!$E$18))-((((('Income Statement'!$D$8*(1+$A8))*F$6)-(('Income Statement'!$D$8*(1+$A8))*(Assumptions!$E$16+Assumptions!$E$17)))+(('Income Statement'!$D$8*(1+$A8))*Assumptions!$E$18))*Assumptions!$E$19))</f>
        <v>109923.934218</v>
      </c>
      <c r="G8" s="16" t="n">
        <f aca="false">((((('Income Statement'!$D$8*(1+$A8))*G$6)-(('Income Statement'!$D$8*(1+$A8))*(Assumptions!$E$16+Assumptions!$E$17)))+(('Income Statement'!$D$8*(1+$A8))*Assumptions!$E$18))-((((('Income Statement'!$D$8*(1+$A8))*G$6)-(('Income Statement'!$D$8*(1+$A8))*(Assumptions!$E$16+Assumptions!$E$17)))+(('Income Statement'!$D$8*(1+$A8))*Assumptions!$E$18))*Assumptions!$E$19))</f>
        <v>113244.898998</v>
      </c>
    </row>
    <row r="9" customFormat="false" ht="15" hidden="false" customHeight="false" outlineLevel="0" collapsed="false">
      <c r="A9" s="32" t="n">
        <v>0</v>
      </c>
      <c r="B9" s="16" t="n">
        <f aca="false">((((('Income Statement'!$D$8*(1+$A9))*B$6)-(('Income Statement'!$D$8*(1+$A9))*(Assumptions!$E$16+Assumptions!$E$17)))+(('Income Statement'!$D$8*(1+$A9))*Assumptions!$E$18))-((((('Income Statement'!$D$8*(1+$A9))*B$6)-(('Income Statement'!$D$8*(1+$A9))*(Assumptions!$E$16+Assumptions!$E$17)))+(('Income Statement'!$D$8*(1+$A9))*Assumptions!$E$18))*Assumptions!$E$19))</f>
        <v>105222.14724</v>
      </c>
      <c r="C9" s="16" t="n">
        <f aca="false">((((('Income Statement'!$D$8*(1+$A9))*C$6)-(('Income Statement'!$D$8*(1+$A9))*(Assumptions!$E$16+Assumptions!$E$17)))+(('Income Statement'!$D$8*(1+$A9))*Assumptions!$E$18))-((((('Income Statement'!$D$8*(1+$A9))*C$6)-(('Income Statement'!$D$8*(1+$A9))*(Assumptions!$E$16+Assumptions!$E$17)))+(('Income Statement'!$D$8*(1+$A9))*Assumptions!$E$18))*Assumptions!$E$19))</f>
        <v>108717.89964</v>
      </c>
      <c r="D9" s="16" t="n">
        <f aca="false">((((('Income Statement'!$D$8*(1+$A9))*D$6)-(('Income Statement'!$D$8*(1+$A9))*(Assumptions!$E$16+Assumptions!$E$17)))+(('Income Statement'!$D$8*(1+$A9))*Assumptions!$E$18))-((((('Income Statement'!$D$8*(1+$A9))*D$6)-(('Income Statement'!$D$8*(1+$A9))*(Assumptions!$E$16+Assumptions!$E$17)))+(('Income Statement'!$D$8*(1+$A9))*Assumptions!$E$18))*Assumptions!$E$19))</f>
        <v>112213.65204</v>
      </c>
      <c r="E9" s="16" t="n">
        <f aca="false">((((('Income Statement'!$D$8*(1+$A9))*E$6)-(('Income Statement'!$D$8*(1+$A9))*(Assumptions!$E$16+Assumptions!$E$17)))+(('Income Statement'!$D$8*(1+$A9))*Assumptions!$E$18))-((((('Income Statement'!$D$8*(1+$A9))*E$6)-(('Income Statement'!$D$8*(1+$A9))*(Assumptions!$E$16+Assumptions!$E$17)))+(('Income Statement'!$D$8*(1+$A9))*Assumptions!$E$18))*Assumptions!$E$19))</f>
        <v>112912.80252</v>
      </c>
      <c r="F9" s="16" t="n">
        <f aca="false">((((('Income Statement'!$D$8*(1+$A9))*F$6)-(('Income Statement'!$D$8*(1+$A9))*(Assumptions!$E$16+Assumptions!$E$17)))+(('Income Statement'!$D$8*(1+$A9))*Assumptions!$E$18))-((((('Income Statement'!$D$8*(1+$A9))*F$6)-(('Income Statement'!$D$8*(1+$A9))*(Assumptions!$E$16+Assumptions!$E$17)))+(('Income Statement'!$D$8*(1+$A9))*Assumptions!$E$18))*Assumptions!$E$19))</f>
        <v>115709.40444</v>
      </c>
      <c r="G9" s="16" t="n">
        <f aca="false">((((('Income Statement'!$D$8*(1+$A9))*G$6)-(('Income Statement'!$D$8*(1+$A9))*(Assumptions!$E$16+Assumptions!$E$17)))+(('Income Statement'!$D$8*(1+$A9))*Assumptions!$E$18))-((((('Income Statement'!$D$8*(1+$A9))*G$6)-(('Income Statement'!$D$8*(1+$A9))*(Assumptions!$E$16+Assumptions!$E$17)))+(('Income Statement'!$D$8*(1+$A9))*Assumptions!$E$18))*Assumptions!$E$19))</f>
        <v>119205.15684</v>
      </c>
    </row>
    <row r="10" customFormat="false" ht="15" hidden="false" customHeight="false" outlineLevel="0" collapsed="false">
      <c r="A10" s="32" t="n">
        <v>0.08</v>
      </c>
      <c r="B10" s="16" t="n">
        <f aca="false">((((('Income Statement'!$D$8*(1+$A10))*B$6)-(('Income Statement'!$D$8*(1+$A10))*(Assumptions!$E$16+Assumptions!$E$17)))+(('Income Statement'!$D$8*(1+$A10))*Assumptions!$E$18))-((((('Income Statement'!$D$8*(1+$A10))*B$6)-(('Income Statement'!$D$8*(1+$A10))*(Assumptions!$E$16+Assumptions!$E$17)))+(('Income Statement'!$D$8*(1+$A10))*Assumptions!$E$18))*Assumptions!$E$19))</f>
        <v>113639.9190192</v>
      </c>
      <c r="C10" s="16" t="n">
        <f aca="false">((((('Income Statement'!$D$8*(1+$A10))*C$6)-(('Income Statement'!$D$8*(1+$A10))*(Assumptions!$E$16+Assumptions!$E$17)))+(('Income Statement'!$D$8*(1+$A10))*Assumptions!$E$18))-((((('Income Statement'!$D$8*(1+$A10))*C$6)-(('Income Statement'!$D$8*(1+$A10))*(Assumptions!$E$16+Assumptions!$E$17)))+(('Income Statement'!$D$8*(1+$A10))*Assumptions!$E$18))*Assumptions!$E$19))</f>
        <v>117415.3316112</v>
      </c>
      <c r="D10" s="16" t="n">
        <f aca="false">((((('Income Statement'!$D$8*(1+$A10))*D$6)-(('Income Statement'!$D$8*(1+$A10))*(Assumptions!$E$16+Assumptions!$E$17)))+(('Income Statement'!$D$8*(1+$A10))*Assumptions!$E$18))-((((('Income Statement'!$D$8*(1+$A10))*D$6)-(('Income Statement'!$D$8*(1+$A10))*(Assumptions!$E$16+Assumptions!$E$17)))+(('Income Statement'!$D$8*(1+$A10))*Assumptions!$E$18))*Assumptions!$E$19))</f>
        <v>121190.7442032</v>
      </c>
      <c r="E10" s="16" t="n">
        <f aca="false">((((('Income Statement'!$D$8*(1+$A10))*E$6)-(('Income Statement'!$D$8*(1+$A10))*(Assumptions!$E$16+Assumptions!$E$17)))+(('Income Statement'!$D$8*(1+$A10))*Assumptions!$E$18))-((((('Income Statement'!$D$8*(1+$A10))*E$6)-(('Income Statement'!$D$8*(1+$A10))*(Assumptions!$E$16+Assumptions!$E$17)))+(('Income Statement'!$D$8*(1+$A10))*Assumptions!$E$18))*Assumptions!$E$19))</f>
        <v>121945.8267216</v>
      </c>
      <c r="F10" s="16" t="n">
        <f aca="false">((((('Income Statement'!$D$8*(1+$A10))*F$6)-(('Income Statement'!$D$8*(1+$A10))*(Assumptions!$E$16+Assumptions!$E$17)))+(('Income Statement'!$D$8*(1+$A10))*Assumptions!$E$18))-((((('Income Statement'!$D$8*(1+$A10))*F$6)-(('Income Statement'!$D$8*(1+$A10))*(Assumptions!$E$16+Assumptions!$E$17)))+(('Income Statement'!$D$8*(1+$A10))*Assumptions!$E$18))*Assumptions!$E$19))</f>
        <v>124966.1567952</v>
      </c>
      <c r="G10" s="16" t="n">
        <f aca="false">((((('Income Statement'!$D$8*(1+$A10))*G$6)-(('Income Statement'!$D$8*(1+$A10))*(Assumptions!$E$16+Assumptions!$E$17)))+(('Income Statement'!$D$8*(1+$A10))*Assumptions!$E$18))-((((('Income Statement'!$D$8*(1+$A10))*G$6)-(('Income Statement'!$D$8*(1+$A10))*(Assumptions!$E$16+Assumptions!$E$17)))+(('Income Statement'!$D$8*(1+$A10))*Assumptions!$E$18))*Assumptions!$E$19))</f>
        <v>128741.5693872</v>
      </c>
    </row>
    <row r="11" customFormat="false" ht="15" hidden="false" customHeight="false" outlineLevel="0" collapsed="false">
      <c r="A11" s="32" t="n">
        <v>0.12</v>
      </c>
      <c r="B11" s="16" t="n">
        <f aca="false">((((('Income Statement'!$D$8*(1+$A11))*B$6)-(('Income Statement'!$D$8*(1+$A11))*(Assumptions!$E$16+Assumptions!$E$17)))+(('Income Statement'!$D$8*(1+$A11))*Assumptions!$E$18))-((((('Income Statement'!$D$8*(1+$A11))*B$6)-(('Income Statement'!$D$8*(1+$A11))*(Assumptions!$E$16+Assumptions!$E$17)))+(('Income Statement'!$D$8*(1+$A11))*Assumptions!$E$18))*Assumptions!$E$19))</f>
        <v>117848.8049088</v>
      </c>
      <c r="C11" s="16" t="n">
        <f aca="false">((((('Income Statement'!$D$8*(1+$A11))*C$6)-(('Income Statement'!$D$8*(1+$A11))*(Assumptions!$E$16+Assumptions!$E$17)))+(('Income Statement'!$D$8*(1+$A11))*Assumptions!$E$18))-((((('Income Statement'!$D$8*(1+$A11))*C$6)-(('Income Statement'!$D$8*(1+$A11))*(Assumptions!$E$16+Assumptions!$E$17)))+(('Income Statement'!$D$8*(1+$A11))*Assumptions!$E$18))*Assumptions!$E$19))</f>
        <v>121764.0475968</v>
      </c>
      <c r="D11" s="16" t="n">
        <f aca="false">((((('Income Statement'!$D$8*(1+$A11))*D$6)-(('Income Statement'!$D$8*(1+$A11))*(Assumptions!$E$16+Assumptions!$E$17)))+(('Income Statement'!$D$8*(1+$A11))*Assumptions!$E$18))-((((('Income Statement'!$D$8*(1+$A11))*D$6)-(('Income Statement'!$D$8*(1+$A11))*(Assumptions!$E$16+Assumptions!$E$17)))+(('Income Statement'!$D$8*(1+$A11))*Assumptions!$E$18))*Assumptions!$E$19))</f>
        <v>125679.2902848</v>
      </c>
      <c r="E11" s="16" t="n">
        <f aca="false">((((('Income Statement'!$D$8*(1+$A11))*E$6)-(('Income Statement'!$D$8*(1+$A11))*(Assumptions!$E$16+Assumptions!$E$17)))+(('Income Statement'!$D$8*(1+$A11))*Assumptions!$E$18))-((((('Income Statement'!$D$8*(1+$A11))*E$6)-(('Income Statement'!$D$8*(1+$A11))*(Assumptions!$E$16+Assumptions!$E$17)))+(('Income Statement'!$D$8*(1+$A11))*Assumptions!$E$18))*Assumptions!$E$19))</f>
        <v>126462.3388224</v>
      </c>
      <c r="F11" s="16" t="n">
        <f aca="false">((((('Income Statement'!$D$8*(1+$A11))*F$6)-(('Income Statement'!$D$8*(1+$A11))*(Assumptions!$E$16+Assumptions!$E$17)))+(('Income Statement'!$D$8*(1+$A11))*Assumptions!$E$18))-((((('Income Statement'!$D$8*(1+$A11))*F$6)-(('Income Statement'!$D$8*(1+$A11))*(Assumptions!$E$16+Assumptions!$E$17)))+(('Income Statement'!$D$8*(1+$A11))*Assumptions!$E$18))*Assumptions!$E$19))</f>
        <v>129594.5329728</v>
      </c>
      <c r="G11" s="16" t="n">
        <f aca="false">((((('Income Statement'!$D$8*(1+$A11))*G$6)-(('Income Statement'!$D$8*(1+$A11))*(Assumptions!$E$16+Assumptions!$E$17)))+(('Income Statement'!$D$8*(1+$A11))*Assumptions!$E$18))-((((('Income Statement'!$D$8*(1+$A11))*G$6)-(('Income Statement'!$D$8*(1+$A11))*(Assumptions!$E$16+Assumptions!$E$17)))+(('Income Statement'!$D$8*(1+$A11))*Assumptions!$E$18))*Assumptions!$E$19))</f>
        <v>133509.7756608</v>
      </c>
    </row>
    <row r="12" customFormat="false" ht="15" hidden="false" customHeight="false" outlineLevel="0" collapsed="false">
      <c r="A12" s="32" t="n">
        <v>0.15</v>
      </c>
      <c r="B12" s="16" t="n">
        <f aca="false">((((('Income Statement'!$D$8*(1+$A12))*B$6)-(('Income Statement'!$D$8*(1+$A12))*(Assumptions!$E$16+Assumptions!$E$17)))+(('Income Statement'!$D$8*(1+$A12))*Assumptions!$E$18))-((((('Income Statement'!$D$8*(1+$A12))*B$6)-(('Income Statement'!$D$8*(1+$A12))*(Assumptions!$E$16+Assumptions!$E$17)))+(('Income Statement'!$D$8*(1+$A12))*Assumptions!$E$18))*Assumptions!$E$19))</f>
        <v>121005.469326</v>
      </c>
      <c r="C12" s="16" t="n">
        <f aca="false">((((('Income Statement'!$D$8*(1+$A12))*C$6)-(('Income Statement'!$D$8*(1+$A12))*(Assumptions!$E$16+Assumptions!$E$17)))+(('Income Statement'!$D$8*(1+$A12))*Assumptions!$E$18))-((((('Income Statement'!$D$8*(1+$A12))*C$6)-(('Income Statement'!$D$8*(1+$A12))*(Assumptions!$E$16+Assumptions!$E$17)))+(('Income Statement'!$D$8*(1+$A12))*Assumptions!$E$18))*Assumptions!$E$19))</f>
        <v>125025.584586</v>
      </c>
      <c r="D12" s="16" t="n">
        <f aca="false">((((('Income Statement'!$D$8*(1+$A12))*D$6)-(('Income Statement'!$D$8*(1+$A12))*(Assumptions!$E$16+Assumptions!$E$17)))+(('Income Statement'!$D$8*(1+$A12))*Assumptions!$E$18))-((((('Income Statement'!$D$8*(1+$A12))*D$6)-(('Income Statement'!$D$8*(1+$A12))*(Assumptions!$E$16+Assumptions!$E$17)))+(('Income Statement'!$D$8*(1+$A12))*Assumptions!$E$18))*Assumptions!$E$19))</f>
        <v>129045.699846</v>
      </c>
      <c r="E12" s="16" t="n">
        <f aca="false">((((('Income Statement'!$D$8*(1+$A12))*E$6)-(('Income Statement'!$D$8*(1+$A12))*(Assumptions!$E$16+Assumptions!$E$17)))+(('Income Statement'!$D$8*(1+$A12))*Assumptions!$E$18))-((((('Income Statement'!$D$8*(1+$A12))*E$6)-(('Income Statement'!$D$8*(1+$A12))*(Assumptions!$E$16+Assumptions!$E$17)))+(('Income Statement'!$D$8*(1+$A12))*Assumptions!$E$18))*Assumptions!$E$19))</f>
        <v>129849.722898</v>
      </c>
      <c r="F12" s="16" t="n">
        <f aca="false">((((('Income Statement'!$D$8*(1+$A12))*F$6)-(('Income Statement'!$D$8*(1+$A12))*(Assumptions!$E$16+Assumptions!$E$17)))+(('Income Statement'!$D$8*(1+$A12))*Assumptions!$E$18))-((((('Income Statement'!$D$8*(1+$A12))*F$6)-(('Income Statement'!$D$8*(1+$A12))*(Assumptions!$E$16+Assumptions!$E$17)))+(('Income Statement'!$D$8*(1+$A12))*Assumptions!$E$18))*Assumptions!$E$19))</f>
        <v>133065.815106</v>
      </c>
      <c r="G12" s="16" t="n">
        <f aca="false">((((('Income Statement'!$D$8*(1+$A12))*G$6)-(('Income Statement'!$D$8*(1+$A12))*(Assumptions!$E$16+Assumptions!$E$17)))+(('Income Statement'!$D$8*(1+$A12))*Assumptions!$E$18))-((((('Income Statement'!$D$8*(1+$A12))*G$6)-(('Income Statement'!$D$8*(1+$A12))*(Assumptions!$E$16+Assumptions!$E$17)))+(('Income Statement'!$D$8*(1+$A12))*Assumptions!$E$18))*Assumptions!$E$19))</f>
        <v>137085.930366</v>
      </c>
    </row>
    <row r="15" customFormat="false" ht="15" hidden="false" customHeight="false" outlineLevel="0" collapsed="false">
      <c r="A15" s="12" t="s">
        <v>178</v>
      </c>
    </row>
    <row r="16" customFormat="false" ht="28.35" hidden="false" customHeight="false" outlineLevel="0" collapsed="false">
      <c r="A16" s="30" t="s">
        <v>177</v>
      </c>
      <c r="B16" s="31" t="n">
        <v>0.45</v>
      </c>
      <c r="C16" s="31" t="n">
        <v>0.46</v>
      </c>
      <c r="D16" s="31" t="n">
        <v>0.47</v>
      </c>
      <c r="E16" s="31" t="n">
        <v>0.472</v>
      </c>
      <c r="F16" s="31" t="n">
        <v>0.48</v>
      </c>
      <c r="G16" s="31" t="n">
        <v>0.49</v>
      </c>
    </row>
    <row r="17" customFormat="false" ht="15" hidden="false" customHeight="false" outlineLevel="0" collapsed="false">
      <c r="A17" s="32" t="n">
        <v>-0.1</v>
      </c>
      <c r="B17" s="16" t="n">
        <f aca="false">(((((('Income Statement'!$D$8*(1+$A17))*B$16)-(('Income Statement'!$D$8*(1+$A17))*(Assumptions!$E$16+Assumptions!$E$17)))+(('Income Statement'!$D$8*(1+$A17))*Assumptions!$E$18))-((((('Income Statement'!$D$8*(1+$A17))*B$16)-(('Income Statement'!$D$8*(1+$A17))*(Assumptions!$E$16+Assumptions!$E$17)))+(('Income Statement'!$D$8*(1+$A17))*Assumptions!$E$18))*Assumptions!$E$19))+(('Income Statement'!$D$8*(1+$A17))*Assumptions!$E$35)+(('Income Statement'!$D$8*(1+$A17))*Assumptions!$E$36)+(-((('Income Statement'!$D$8*(1+$A17))/365*Assumptions!$B$22)-'Balance Sheet'!$D$9))+(-((('Income Statement'!$D$8*(1+$A17))*Assumptions!$B$25)-'Balance Sheet'!$D$10))+(-(((('Income Statement'!$D$8*(1+$A17))*(1-B$16))/365*Assumptions!$B$23)-'Balance Sheet'!$D$11))+(-((('Income Statement'!$D$8*(1+$A17))*(Assumptions!$B$26+Assumptions!$B$27))-('Balance Sheet'!$D$12+'Balance Sheet'!$D$18)))+(((('Income Statement'!$D$8*(1+$A17))*(1-B$16))/365*Assumptions!$B$24)-'Balance Sheet'!$D$24)+((('Income Statement'!$D$8*(1+$A17))*(Assumptions!$B$28+Assumptions!$B$29+Assumptions!$B$30))-('Balance Sheet'!$D$25+'Balance Sheet'!$D$26+'Balance Sheet'!$D$33)))-(('Income Statement'!$D$8*(1+$A17))*Assumptions!$E$34)</f>
        <v>107796.047961205</v>
      </c>
      <c r="C17" s="16" t="n">
        <f aca="false">(((((('Income Statement'!$D$8*(1+$A17))*C$16)-(('Income Statement'!$D$8*(1+$A17))*(Assumptions!$E$16+Assumptions!$E$17)))+(('Income Statement'!$D$8*(1+$A17))*Assumptions!$E$18))-((((('Income Statement'!$D$8*(1+$A17))*C$16)-(('Income Statement'!$D$8*(1+$A17))*(Assumptions!$E$16+Assumptions!$E$17)))+(('Income Statement'!$D$8*(1+$A17))*Assumptions!$E$18))*Assumptions!$E$19))+(('Income Statement'!$D$8*(1+$A17))*Assumptions!$E$35)+(('Income Statement'!$D$8*(1+$A17))*Assumptions!$E$36)+(-((('Income Statement'!$D$8*(1+$A17))/365*Assumptions!$B$22)-'Balance Sheet'!$D$9))+(-((('Income Statement'!$D$8*(1+$A17))*Assumptions!$B$25)-'Balance Sheet'!$D$10))+(-(((('Income Statement'!$D$8*(1+$A17))*(1-C$16))/365*Assumptions!$B$23)-'Balance Sheet'!$D$11))+(-((('Income Statement'!$D$8*(1+$A17))*(Assumptions!$B$26+Assumptions!$B$27))-('Balance Sheet'!$D$12+'Balance Sheet'!$D$18)))+(((('Income Statement'!$D$8*(1+$A17))*(1-C$16))/365*Assumptions!$B$24)-'Balance Sheet'!$D$24)+((('Income Statement'!$D$8*(1+$A17))*(Assumptions!$B$28+Assumptions!$B$29+Assumptions!$B$30))-('Balance Sheet'!$D$25+'Balance Sheet'!$D$26+'Balance Sheet'!$D$33)))-(('Income Statement'!$D$8*(1+$A17))*Assumptions!$E$34)</f>
        <v>109875.028693808</v>
      </c>
      <c r="D17" s="16" t="n">
        <f aca="false">(((((('Income Statement'!$D$8*(1+$A17))*D$16)-(('Income Statement'!$D$8*(1+$A17))*(Assumptions!$E$16+Assumptions!$E$17)))+(('Income Statement'!$D$8*(1+$A17))*Assumptions!$E$18))-((((('Income Statement'!$D$8*(1+$A17))*D$16)-(('Income Statement'!$D$8*(1+$A17))*(Assumptions!$E$16+Assumptions!$E$17)))+(('Income Statement'!$D$8*(1+$A17))*Assumptions!$E$18))*Assumptions!$E$19))+(('Income Statement'!$D$8*(1+$A17))*Assumptions!$E$35)+(('Income Statement'!$D$8*(1+$A17))*Assumptions!$E$36)+(-((('Income Statement'!$D$8*(1+$A17))/365*Assumptions!$B$22)-'Balance Sheet'!$D$9))+(-((('Income Statement'!$D$8*(1+$A17))*Assumptions!$B$25)-'Balance Sheet'!$D$10))+(-(((('Income Statement'!$D$8*(1+$A17))*(1-D$16))/365*Assumptions!$B$23)-'Balance Sheet'!$D$11))+(-((('Income Statement'!$D$8*(1+$A17))*(Assumptions!$B$26+Assumptions!$B$27))-('Balance Sheet'!$D$12+'Balance Sheet'!$D$18)))+(((('Income Statement'!$D$8*(1+$A17))*(1-D$16))/365*Assumptions!$B$24)-'Balance Sheet'!$D$24)+((('Income Statement'!$D$8*(1+$A17))*(Assumptions!$B$28+Assumptions!$B$29+Assumptions!$B$30))-('Balance Sheet'!$D$25+'Balance Sheet'!$D$26+'Balance Sheet'!$D$33)))-(('Income Statement'!$D$8*(1+$A17))*Assumptions!$E$34)</f>
        <v>111954.009426411</v>
      </c>
      <c r="E17" s="16" t="n">
        <f aca="false">(((((('Income Statement'!$D$8*(1+$A17))*E$16)-(('Income Statement'!$D$8*(1+$A17))*(Assumptions!$E$16+Assumptions!$E$17)))+(('Income Statement'!$D$8*(1+$A17))*Assumptions!$E$18))-((((('Income Statement'!$D$8*(1+$A17))*E$16)-(('Income Statement'!$D$8*(1+$A17))*(Assumptions!$E$16+Assumptions!$E$17)))+(('Income Statement'!$D$8*(1+$A17))*Assumptions!$E$18))*Assumptions!$E$19))+(('Income Statement'!$D$8*(1+$A17))*Assumptions!$E$35)+(('Income Statement'!$D$8*(1+$A17))*Assumptions!$E$36)+(-((('Income Statement'!$D$8*(1+$A17))/365*Assumptions!$B$22)-'Balance Sheet'!$D$9))+(-((('Income Statement'!$D$8*(1+$A17))*Assumptions!$B$25)-'Balance Sheet'!$D$10))+(-(((('Income Statement'!$D$8*(1+$A17))*(1-E$16))/365*Assumptions!$B$23)-'Balance Sheet'!$D$11))+(-((('Income Statement'!$D$8*(1+$A17))*(Assumptions!$B$26+Assumptions!$B$27))-('Balance Sheet'!$D$12+'Balance Sheet'!$D$18)))+(((('Income Statement'!$D$8*(1+$A17))*(1-E$16))/365*Assumptions!$B$24)-'Balance Sheet'!$D$24)+((('Income Statement'!$D$8*(1+$A17))*(Assumptions!$B$28+Assumptions!$B$29+Assumptions!$B$30))-('Balance Sheet'!$D$25+'Balance Sheet'!$D$26+'Balance Sheet'!$D$33)))-(('Income Statement'!$D$8*(1+$A17))*Assumptions!$E$34)</f>
        <v>112369.805572931</v>
      </c>
      <c r="F17" s="16" t="n">
        <f aca="false">(((((('Income Statement'!$D$8*(1+$A17))*F$16)-(('Income Statement'!$D$8*(1+$A17))*(Assumptions!$E$16+Assumptions!$E$17)))+(('Income Statement'!$D$8*(1+$A17))*Assumptions!$E$18))-((((('Income Statement'!$D$8*(1+$A17))*F$16)-(('Income Statement'!$D$8*(1+$A17))*(Assumptions!$E$16+Assumptions!$E$17)))+(('Income Statement'!$D$8*(1+$A17))*Assumptions!$E$18))*Assumptions!$E$19))+(('Income Statement'!$D$8*(1+$A17))*Assumptions!$E$35)+(('Income Statement'!$D$8*(1+$A17))*Assumptions!$E$36)+(-((('Income Statement'!$D$8*(1+$A17))/365*Assumptions!$B$22)-'Balance Sheet'!$D$9))+(-((('Income Statement'!$D$8*(1+$A17))*Assumptions!$B$25)-'Balance Sheet'!$D$10))+(-(((('Income Statement'!$D$8*(1+$A17))*(1-F$16))/365*Assumptions!$B$23)-'Balance Sheet'!$D$11))+(-((('Income Statement'!$D$8*(1+$A17))*(Assumptions!$B$26+Assumptions!$B$27))-('Balance Sheet'!$D$12+'Balance Sheet'!$D$18)))+(((('Income Statement'!$D$8*(1+$A17))*(1-F$16))/365*Assumptions!$B$24)-'Balance Sheet'!$D$24)+((('Income Statement'!$D$8*(1+$A17))*(Assumptions!$B$28+Assumptions!$B$29+Assumptions!$B$30))-('Balance Sheet'!$D$25+'Balance Sheet'!$D$26+'Balance Sheet'!$D$33)))-(('Income Statement'!$D$8*(1+$A17))*Assumptions!$E$34)</f>
        <v>114032.990159014</v>
      </c>
      <c r="G17" s="16" t="n">
        <f aca="false">(((((('Income Statement'!$D$8*(1+$A17))*G$16)-(('Income Statement'!$D$8*(1+$A17))*(Assumptions!$E$16+Assumptions!$E$17)))+(('Income Statement'!$D$8*(1+$A17))*Assumptions!$E$18))-((((('Income Statement'!$D$8*(1+$A17))*G$16)-(('Income Statement'!$D$8*(1+$A17))*(Assumptions!$E$16+Assumptions!$E$17)))+(('Income Statement'!$D$8*(1+$A17))*Assumptions!$E$18))*Assumptions!$E$19))+(('Income Statement'!$D$8*(1+$A17))*Assumptions!$E$35)+(('Income Statement'!$D$8*(1+$A17))*Assumptions!$E$36)+(-((('Income Statement'!$D$8*(1+$A17))/365*Assumptions!$B$22)-'Balance Sheet'!$D$9))+(-((('Income Statement'!$D$8*(1+$A17))*Assumptions!$B$25)-'Balance Sheet'!$D$10))+(-(((('Income Statement'!$D$8*(1+$A17))*(1-G$16))/365*Assumptions!$B$23)-'Balance Sheet'!$D$11))+(-((('Income Statement'!$D$8*(1+$A17))*(Assumptions!$B$26+Assumptions!$B$27))-('Balance Sheet'!$D$12+'Balance Sheet'!$D$18)))+(((('Income Statement'!$D$8*(1+$A17))*(1-G$16))/365*Assumptions!$B$24)-'Balance Sheet'!$D$24)+((('Income Statement'!$D$8*(1+$A17))*(Assumptions!$B$28+Assumptions!$B$29+Assumptions!$B$30))-('Balance Sheet'!$D$25+'Balance Sheet'!$D$26+'Balance Sheet'!$D$33)))-(('Income Statement'!$D$8*(1+$A17))*Assumptions!$E$34)</f>
        <v>116111.970891616</v>
      </c>
    </row>
    <row r="18" customFormat="false" ht="15" hidden="false" customHeight="false" outlineLevel="0" collapsed="false">
      <c r="A18" s="32" t="n">
        <v>-0.05</v>
      </c>
      <c r="B18" s="16" t="n">
        <f aca="false">(((((('Income Statement'!$D$8*(1+$A18))*B$16)-(('Income Statement'!$D$8*(1+$A18))*(Assumptions!$E$16+Assumptions!$E$17)))+(('Income Statement'!$D$8*(1+$A18))*Assumptions!$E$18))-((((('Income Statement'!$D$8*(1+$A18))*B$16)-(('Income Statement'!$D$8*(1+$A18))*(Assumptions!$E$16+Assumptions!$E$17)))+(('Income Statement'!$D$8*(1+$A18))*Assumptions!$E$18))*Assumptions!$E$19))+(('Income Statement'!$D$8*(1+$A18))*Assumptions!$E$35)+(('Income Statement'!$D$8*(1+$A18))*Assumptions!$E$36)+(-((('Income Statement'!$D$8*(1+$A18))/365*Assumptions!$B$22)-'Balance Sheet'!$D$9))+(-((('Income Statement'!$D$8*(1+$A18))*Assumptions!$B$25)-'Balance Sheet'!$D$10))+(-(((('Income Statement'!$D$8*(1+$A18))*(1-B$16))/365*Assumptions!$B$23)-'Balance Sheet'!$D$11))+(-((('Income Statement'!$D$8*(1+$A18))*(Assumptions!$B$26+Assumptions!$B$27))-('Balance Sheet'!$D$12+'Balance Sheet'!$D$18)))+(((('Income Statement'!$D$8*(1+$A18))*(1-B$16))/365*Assumptions!$B$24)-'Balance Sheet'!$D$24)+((('Income Statement'!$D$8*(1+$A18))*(Assumptions!$B$28+Assumptions!$B$29+Assumptions!$B$30))-('Balance Sheet'!$D$25+'Balance Sheet'!$D$26+'Balance Sheet'!$D$33)))-(('Income Statement'!$D$8*(1+$A18))*Assumptions!$E$34)</f>
        <v>114332.717292384</v>
      </c>
      <c r="C18" s="16" t="n">
        <f aca="false">(((((('Income Statement'!$D$8*(1+$A18))*C$16)-(('Income Statement'!$D$8*(1+$A18))*(Assumptions!$E$16+Assumptions!$E$17)))+(('Income Statement'!$D$8*(1+$A18))*Assumptions!$E$18))-((((('Income Statement'!$D$8*(1+$A18))*C$16)-(('Income Statement'!$D$8*(1+$A18))*(Assumptions!$E$16+Assumptions!$E$17)))+(('Income Statement'!$D$8*(1+$A18))*Assumptions!$E$18))*Assumptions!$E$19))+(('Income Statement'!$D$8*(1+$A18))*Assumptions!$E$35)+(('Income Statement'!$D$8*(1+$A18))*Assumptions!$E$36)+(-((('Income Statement'!$D$8*(1+$A18))/365*Assumptions!$B$22)-'Balance Sheet'!$D$9))+(-((('Income Statement'!$D$8*(1+$A18))*Assumptions!$B$25)-'Balance Sheet'!$D$10))+(-(((('Income Statement'!$D$8*(1+$A18))*(1-C$16))/365*Assumptions!$B$23)-'Balance Sheet'!$D$11))+(-((('Income Statement'!$D$8*(1+$A18))*(Assumptions!$B$26+Assumptions!$B$27))-('Balance Sheet'!$D$12+'Balance Sheet'!$D$18)))+(((('Income Statement'!$D$8*(1+$A18))*(1-C$16))/365*Assumptions!$B$24)-'Balance Sheet'!$D$24)+((('Income Statement'!$D$8*(1+$A18))*(Assumptions!$B$28+Assumptions!$B$29+Assumptions!$B$30))-('Balance Sheet'!$D$25+'Balance Sheet'!$D$26+'Balance Sheet'!$D$33)))-(('Income Statement'!$D$8*(1+$A18))*Assumptions!$E$34)</f>
        <v>116527.196954575</v>
      </c>
      <c r="D18" s="16" t="n">
        <f aca="false">(((((('Income Statement'!$D$8*(1+$A18))*D$16)-(('Income Statement'!$D$8*(1+$A18))*(Assumptions!$E$16+Assumptions!$E$17)))+(('Income Statement'!$D$8*(1+$A18))*Assumptions!$E$18))-((((('Income Statement'!$D$8*(1+$A18))*D$16)-(('Income Statement'!$D$8*(1+$A18))*(Assumptions!$E$16+Assumptions!$E$17)))+(('Income Statement'!$D$8*(1+$A18))*Assumptions!$E$18))*Assumptions!$E$19))+(('Income Statement'!$D$8*(1+$A18))*Assumptions!$E$35)+(('Income Statement'!$D$8*(1+$A18))*Assumptions!$E$36)+(-((('Income Statement'!$D$8*(1+$A18))/365*Assumptions!$B$22)-'Balance Sheet'!$D$9))+(-((('Income Statement'!$D$8*(1+$A18))*Assumptions!$B$25)-'Balance Sheet'!$D$10))+(-(((('Income Statement'!$D$8*(1+$A18))*(1-D$16))/365*Assumptions!$B$23)-'Balance Sheet'!$D$11))+(-((('Income Statement'!$D$8*(1+$A18))*(Assumptions!$B$26+Assumptions!$B$27))-('Balance Sheet'!$D$12+'Balance Sheet'!$D$18)))+(((('Income Statement'!$D$8*(1+$A18))*(1-D$16))/365*Assumptions!$B$24)-'Balance Sheet'!$D$24)+((('Income Statement'!$D$8*(1+$A18))*(Assumptions!$B$28+Assumptions!$B$29+Assumptions!$B$30))-('Balance Sheet'!$D$25+'Balance Sheet'!$D$26+'Balance Sheet'!$D$33)))-(('Income Statement'!$D$8*(1+$A18))*Assumptions!$E$34)</f>
        <v>118721.676616767</v>
      </c>
      <c r="E18" s="16" t="n">
        <f aca="false">(((((('Income Statement'!$D$8*(1+$A18))*E$16)-(('Income Statement'!$D$8*(1+$A18))*(Assumptions!$E$16+Assumptions!$E$17)))+(('Income Statement'!$D$8*(1+$A18))*Assumptions!$E$18))-((((('Income Statement'!$D$8*(1+$A18))*E$16)-(('Income Statement'!$D$8*(1+$A18))*(Assumptions!$E$16+Assumptions!$E$17)))+(('Income Statement'!$D$8*(1+$A18))*Assumptions!$E$18))*Assumptions!$E$19))+(('Income Statement'!$D$8*(1+$A18))*Assumptions!$E$35)+(('Income Statement'!$D$8*(1+$A18))*Assumptions!$E$36)+(-((('Income Statement'!$D$8*(1+$A18))/365*Assumptions!$B$22)-'Balance Sheet'!$D$9))+(-((('Income Statement'!$D$8*(1+$A18))*Assumptions!$B$25)-'Balance Sheet'!$D$10))+(-(((('Income Statement'!$D$8*(1+$A18))*(1-E$16))/365*Assumptions!$B$23)-'Balance Sheet'!$D$11))+(-((('Income Statement'!$D$8*(1+$A18))*(Assumptions!$B$26+Assumptions!$B$27))-('Balance Sheet'!$D$12+'Balance Sheet'!$D$18)))+(((('Income Statement'!$D$8*(1+$A18))*(1-E$16))/365*Assumptions!$B$24)-'Balance Sheet'!$D$24)+((('Income Statement'!$D$8*(1+$A18))*(Assumptions!$B$28+Assumptions!$B$29+Assumptions!$B$30))-('Balance Sheet'!$D$25+'Balance Sheet'!$D$26+'Balance Sheet'!$D$33)))-(('Income Statement'!$D$8*(1+$A18))*Assumptions!$E$34)</f>
        <v>119160.572549205</v>
      </c>
      <c r="F18" s="16" t="n">
        <f aca="false">(((((('Income Statement'!$D$8*(1+$A18))*F$16)-(('Income Statement'!$D$8*(1+$A18))*(Assumptions!$E$16+Assumptions!$E$17)))+(('Income Statement'!$D$8*(1+$A18))*Assumptions!$E$18))-((((('Income Statement'!$D$8*(1+$A18))*F$16)-(('Income Statement'!$D$8*(1+$A18))*(Assumptions!$E$16+Assumptions!$E$17)))+(('Income Statement'!$D$8*(1+$A18))*Assumptions!$E$18))*Assumptions!$E$19))+(('Income Statement'!$D$8*(1+$A18))*Assumptions!$E$35)+(('Income Statement'!$D$8*(1+$A18))*Assumptions!$E$36)+(-((('Income Statement'!$D$8*(1+$A18))/365*Assumptions!$B$22)-'Balance Sheet'!$D$9))+(-((('Income Statement'!$D$8*(1+$A18))*Assumptions!$B$25)-'Balance Sheet'!$D$10))+(-(((('Income Statement'!$D$8*(1+$A18))*(1-F$16))/365*Assumptions!$B$23)-'Balance Sheet'!$D$11))+(-((('Income Statement'!$D$8*(1+$A18))*(Assumptions!$B$26+Assumptions!$B$27))-('Balance Sheet'!$D$12+'Balance Sheet'!$D$18)))+(((('Income Statement'!$D$8*(1+$A18))*(1-F$16))/365*Assumptions!$B$24)-'Balance Sheet'!$D$24)+((('Income Statement'!$D$8*(1+$A18))*(Assumptions!$B$28+Assumptions!$B$29+Assumptions!$B$30))-('Balance Sheet'!$D$25+'Balance Sheet'!$D$26+'Balance Sheet'!$D$33)))-(('Income Statement'!$D$8*(1+$A18))*Assumptions!$E$34)</f>
        <v>120916.156278959</v>
      </c>
      <c r="G18" s="16" t="n">
        <f aca="false">(((((('Income Statement'!$D$8*(1+$A18))*G$16)-(('Income Statement'!$D$8*(1+$A18))*(Assumptions!$E$16+Assumptions!$E$17)))+(('Income Statement'!$D$8*(1+$A18))*Assumptions!$E$18))-((((('Income Statement'!$D$8*(1+$A18))*G$16)-(('Income Statement'!$D$8*(1+$A18))*(Assumptions!$E$16+Assumptions!$E$17)))+(('Income Statement'!$D$8*(1+$A18))*Assumptions!$E$18))*Assumptions!$E$19))+(('Income Statement'!$D$8*(1+$A18))*Assumptions!$E$35)+(('Income Statement'!$D$8*(1+$A18))*Assumptions!$E$36)+(-((('Income Statement'!$D$8*(1+$A18))/365*Assumptions!$B$22)-'Balance Sheet'!$D$9))+(-((('Income Statement'!$D$8*(1+$A18))*Assumptions!$B$25)-'Balance Sheet'!$D$10))+(-(((('Income Statement'!$D$8*(1+$A18))*(1-G$16))/365*Assumptions!$B$23)-'Balance Sheet'!$D$11))+(-((('Income Statement'!$D$8*(1+$A18))*(Assumptions!$B$26+Assumptions!$B$27))-('Balance Sheet'!$D$12+'Balance Sheet'!$D$18)))+(((('Income Statement'!$D$8*(1+$A18))*(1-G$16))/365*Assumptions!$B$24)-'Balance Sheet'!$D$24)+((('Income Statement'!$D$8*(1+$A18))*(Assumptions!$B$28+Assumptions!$B$29+Assumptions!$B$30))-('Balance Sheet'!$D$25+'Balance Sheet'!$D$26+'Balance Sheet'!$D$33)))-(('Income Statement'!$D$8*(1+$A18))*Assumptions!$E$34)</f>
        <v>123110.635941151</v>
      </c>
    </row>
    <row r="19" customFormat="false" ht="15" hidden="false" customHeight="false" outlineLevel="0" collapsed="false">
      <c r="A19" s="32" t="n">
        <v>0</v>
      </c>
      <c r="B19" s="16" t="n">
        <f aca="false">(((((('Income Statement'!$D$8*(1+$A19))*B$16)-(('Income Statement'!$D$8*(1+$A19))*(Assumptions!$E$16+Assumptions!$E$17)))+(('Income Statement'!$D$8*(1+$A19))*Assumptions!$E$18))-((((('Income Statement'!$D$8*(1+$A19))*B$16)-(('Income Statement'!$D$8*(1+$A19))*(Assumptions!$E$16+Assumptions!$E$17)))+(('Income Statement'!$D$8*(1+$A19))*Assumptions!$E$18))*Assumptions!$E$19))+(('Income Statement'!$D$8*(1+$A19))*Assumptions!$E$35)+(('Income Statement'!$D$8*(1+$A19))*Assumptions!$E$36)+(-((('Income Statement'!$D$8*(1+$A19))/365*Assumptions!$B$22)-'Balance Sheet'!$D$9))+(-((('Income Statement'!$D$8*(1+$A19))*Assumptions!$B$25)-'Balance Sheet'!$D$10))+(-(((('Income Statement'!$D$8*(1+$A19))*(1-B$16))/365*Assumptions!$B$23)-'Balance Sheet'!$D$11))+(-((('Income Statement'!$D$8*(1+$A19))*(Assumptions!$B$26+Assumptions!$B$27))-('Balance Sheet'!$D$12+'Balance Sheet'!$D$18)))+(((('Income Statement'!$D$8*(1+$A19))*(1-B$16))/365*Assumptions!$B$24)-'Balance Sheet'!$D$24)+((('Income Statement'!$D$8*(1+$A19))*(Assumptions!$B$28+Assumptions!$B$29+Assumptions!$B$30))-('Balance Sheet'!$D$25+'Balance Sheet'!$D$26+'Balance Sheet'!$D$33)))-(('Income Statement'!$D$8*(1+$A19))*Assumptions!$E$34)</f>
        <v>120869.386623562</v>
      </c>
      <c r="C19" s="16" t="n">
        <f aca="false">(((((('Income Statement'!$D$8*(1+$A19))*C$16)-(('Income Statement'!$D$8*(1+$A19))*(Assumptions!$E$16+Assumptions!$E$17)))+(('Income Statement'!$D$8*(1+$A19))*Assumptions!$E$18))-((((('Income Statement'!$D$8*(1+$A19))*C$16)-(('Income Statement'!$D$8*(1+$A19))*(Assumptions!$E$16+Assumptions!$E$17)))+(('Income Statement'!$D$8*(1+$A19))*Assumptions!$E$18))*Assumptions!$E$19))+(('Income Statement'!$D$8*(1+$A19))*Assumptions!$E$35)+(('Income Statement'!$D$8*(1+$A19))*Assumptions!$E$36)+(-((('Income Statement'!$D$8*(1+$A19))/365*Assumptions!$B$22)-'Balance Sheet'!$D$9))+(-((('Income Statement'!$D$8*(1+$A19))*Assumptions!$B$25)-'Balance Sheet'!$D$10))+(-(((('Income Statement'!$D$8*(1+$A19))*(1-C$16))/365*Assumptions!$B$23)-'Balance Sheet'!$D$11))+(-((('Income Statement'!$D$8*(1+$A19))*(Assumptions!$B$26+Assumptions!$B$27))-('Balance Sheet'!$D$12+'Balance Sheet'!$D$18)))+(((('Income Statement'!$D$8*(1+$A19))*(1-C$16))/365*Assumptions!$B$24)-'Balance Sheet'!$D$24)+((('Income Statement'!$D$8*(1+$A19))*(Assumptions!$B$28+Assumptions!$B$29+Assumptions!$B$30))-('Balance Sheet'!$D$25+'Balance Sheet'!$D$26+'Balance Sheet'!$D$33)))-(('Income Statement'!$D$8*(1+$A19))*Assumptions!$E$34)</f>
        <v>123179.365215342</v>
      </c>
      <c r="D19" s="16" t="n">
        <f aca="false">(((((('Income Statement'!$D$8*(1+$A19))*D$16)-(('Income Statement'!$D$8*(1+$A19))*(Assumptions!$E$16+Assumptions!$E$17)))+(('Income Statement'!$D$8*(1+$A19))*Assumptions!$E$18))-((((('Income Statement'!$D$8*(1+$A19))*D$16)-(('Income Statement'!$D$8*(1+$A19))*(Assumptions!$E$16+Assumptions!$E$17)))+(('Income Statement'!$D$8*(1+$A19))*Assumptions!$E$18))*Assumptions!$E$19))+(('Income Statement'!$D$8*(1+$A19))*Assumptions!$E$35)+(('Income Statement'!$D$8*(1+$A19))*Assumptions!$E$36)+(-((('Income Statement'!$D$8*(1+$A19))/365*Assumptions!$B$22)-'Balance Sheet'!$D$9))+(-((('Income Statement'!$D$8*(1+$A19))*Assumptions!$B$25)-'Balance Sheet'!$D$10))+(-(((('Income Statement'!$D$8*(1+$A19))*(1-D$16))/365*Assumptions!$B$23)-'Balance Sheet'!$D$11))+(-((('Income Statement'!$D$8*(1+$A19))*(Assumptions!$B$26+Assumptions!$B$27))-('Balance Sheet'!$D$12+'Balance Sheet'!$D$18)))+(((('Income Statement'!$D$8*(1+$A19))*(1-D$16))/365*Assumptions!$B$24)-'Balance Sheet'!$D$24)+((('Income Statement'!$D$8*(1+$A19))*(Assumptions!$B$28+Assumptions!$B$29+Assumptions!$B$30))-('Balance Sheet'!$D$25+'Balance Sheet'!$D$26+'Balance Sheet'!$D$33)))-(('Income Statement'!$D$8*(1+$A19))*Assumptions!$E$34)</f>
        <v>125489.343807123</v>
      </c>
      <c r="E19" s="16" t="n">
        <f aca="false">(((((('Income Statement'!$D$8*(1+$A19))*E$16)-(('Income Statement'!$D$8*(1+$A19))*(Assumptions!$E$16+Assumptions!$E$17)))+(('Income Statement'!$D$8*(1+$A19))*Assumptions!$E$18))-((((('Income Statement'!$D$8*(1+$A19))*E$16)-(('Income Statement'!$D$8*(1+$A19))*(Assumptions!$E$16+Assumptions!$E$17)))+(('Income Statement'!$D$8*(1+$A19))*Assumptions!$E$18))*Assumptions!$E$19))+(('Income Statement'!$D$8*(1+$A19))*Assumptions!$E$35)+(('Income Statement'!$D$8*(1+$A19))*Assumptions!$E$36)+(-((('Income Statement'!$D$8*(1+$A19))/365*Assumptions!$B$22)-'Balance Sheet'!$D$9))+(-((('Income Statement'!$D$8*(1+$A19))*Assumptions!$B$25)-'Balance Sheet'!$D$10))+(-(((('Income Statement'!$D$8*(1+$A19))*(1-E$16))/365*Assumptions!$B$23)-'Balance Sheet'!$D$11))+(-((('Income Statement'!$D$8*(1+$A19))*(Assumptions!$B$26+Assumptions!$B$27))-('Balance Sheet'!$D$12+'Balance Sheet'!$D$18)))+(((('Income Statement'!$D$8*(1+$A19))*(1-E$16))/365*Assumptions!$B$24)-'Balance Sheet'!$D$24)+((('Income Statement'!$D$8*(1+$A19))*(Assumptions!$B$28+Assumptions!$B$29+Assumptions!$B$30))-('Balance Sheet'!$D$25+'Balance Sheet'!$D$26+'Balance Sheet'!$D$33)))-(('Income Statement'!$D$8*(1+$A19))*Assumptions!$E$34)</f>
        <v>125951.339525479</v>
      </c>
      <c r="F19" s="16" t="n">
        <f aca="false">(((((('Income Statement'!$D$8*(1+$A19))*F$16)-(('Income Statement'!$D$8*(1+$A19))*(Assumptions!$E$16+Assumptions!$E$17)))+(('Income Statement'!$D$8*(1+$A19))*Assumptions!$E$18))-((((('Income Statement'!$D$8*(1+$A19))*F$16)-(('Income Statement'!$D$8*(1+$A19))*(Assumptions!$E$16+Assumptions!$E$17)))+(('Income Statement'!$D$8*(1+$A19))*Assumptions!$E$18))*Assumptions!$E$19))+(('Income Statement'!$D$8*(1+$A19))*Assumptions!$E$35)+(('Income Statement'!$D$8*(1+$A19))*Assumptions!$E$36)+(-((('Income Statement'!$D$8*(1+$A19))/365*Assumptions!$B$22)-'Balance Sheet'!$D$9))+(-((('Income Statement'!$D$8*(1+$A19))*Assumptions!$B$25)-'Balance Sheet'!$D$10))+(-(((('Income Statement'!$D$8*(1+$A19))*(1-F$16))/365*Assumptions!$B$23)-'Balance Sheet'!$D$11))+(-((('Income Statement'!$D$8*(1+$A19))*(Assumptions!$B$26+Assumptions!$B$27))-('Balance Sheet'!$D$12+'Balance Sheet'!$D$18)))+(((('Income Statement'!$D$8*(1+$A19))*(1-F$16))/365*Assumptions!$B$24)-'Balance Sheet'!$D$24)+((('Income Statement'!$D$8*(1+$A19))*(Assumptions!$B$28+Assumptions!$B$29+Assumptions!$B$30))-('Balance Sheet'!$D$25+'Balance Sheet'!$D$26+'Balance Sheet'!$D$33)))-(('Income Statement'!$D$8*(1+$A19))*Assumptions!$E$34)</f>
        <v>127799.322398904</v>
      </c>
      <c r="G19" s="16" t="n">
        <f aca="false">(((((('Income Statement'!$D$8*(1+$A19))*G$16)-(('Income Statement'!$D$8*(1+$A19))*(Assumptions!$E$16+Assumptions!$E$17)))+(('Income Statement'!$D$8*(1+$A19))*Assumptions!$E$18))-((((('Income Statement'!$D$8*(1+$A19))*G$16)-(('Income Statement'!$D$8*(1+$A19))*(Assumptions!$E$16+Assumptions!$E$17)))+(('Income Statement'!$D$8*(1+$A19))*Assumptions!$E$18))*Assumptions!$E$19))+(('Income Statement'!$D$8*(1+$A19))*Assumptions!$E$35)+(('Income Statement'!$D$8*(1+$A19))*Assumptions!$E$36)+(-((('Income Statement'!$D$8*(1+$A19))/365*Assumptions!$B$22)-'Balance Sheet'!$D$9))+(-((('Income Statement'!$D$8*(1+$A19))*Assumptions!$B$25)-'Balance Sheet'!$D$10))+(-(((('Income Statement'!$D$8*(1+$A19))*(1-G$16))/365*Assumptions!$B$23)-'Balance Sheet'!$D$11))+(-((('Income Statement'!$D$8*(1+$A19))*(Assumptions!$B$26+Assumptions!$B$27))-('Balance Sheet'!$D$12+'Balance Sheet'!$D$18)))+(((('Income Statement'!$D$8*(1+$A19))*(1-G$16))/365*Assumptions!$B$24)-'Balance Sheet'!$D$24)+((('Income Statement'!$D$8*(1+$A19))*(Assumptions!$B$28+Assumptions!$B$29+Assumptions!$B$30))-('Balance Sheet'!$D$25+'Balance Sheet'!$D$26+'Balance Sheet'!$D$33)))-(('Income Statement'!$D$8*(1+$A19))*Assumptions!$E$34)</f>
        <v>130109.300990685</v>
      </c>
    </row>
    <row r="20" customFormat="false" ht="15" hidden="false" customHeight="false" outlineLevel="0" collapsed="false">
      <c r="A20" s="32" t="n">
        <v>0.08</v>
      </c>
      <c r="B20" s="16" t="n">
        <f aca="false">(((((('Income Statement'!$D$8*(1+$A20))*B$16)-(('Income Statement'!$D$8*(1+$A20))*(Assumptions!$E$16+Assumptions!$E$17)))+(('Income Statement'!$D$8*(1+$A20))*Assumptions!$E$18))-((((('Income Statement'!$D$8*(1+$A20))*B$16)-(('Income Statement'!$D$8*(1+$A20))*(Assumptions!$E$16+Assumptions!$E$17)))+(('Income Statement'!$D$8*(1+$A20))*Assumptions!$E$18))*Assumptions!$E$19))+(('Income Statement'!$D$8*(1+$A20))*Assumptions!$E$35)+(('Income Statement'!$D$8*(1+$A20))*Assumptions!$E$36)+(-((('Income Statement'!$D$8*(1+$A20))/365*Assumptions!$B$22)-'Balance Sheet'!$D$9))+(-((('Income Statement'!$D$8*(1+$A20))*Assumptions!$B$25)-'Balance Sheet'!$D$10))+(-(((('Income Statement'!$D$8*(1+$A20))*(1-B$16))/365*Assumptions!$B$23)-'Balance Sheet'!$D$11))+(-((('Income Statement'!$D$8*(1+$A20))*(Assumptions!$B$26+Assumptions!$B$27))-('Balance Sheet'!$D$12+'Balance Sheet'!$D$18)))+(((('Income Statement'!$D$8*(1+$A20))*(1-B$16))/365*Assumptions!$B$24)-'Balance Sheet'!$D$24)+((('Income Statement'!$D$8*(1+$A20))*(Assumptions!$B$28+Assumptions!$B$29+Assumptions!$B$30))-('Balance Sheet'!$D$25+'Balance Sheet'!$D$26+'Balance Sheet'!$D$33)))-(('Income Statement'!$D$8*(1+$A20))*Assumptions!$E$34)</f>
        <v>131328.057553447</v>
      </c>
      <c r="C20" s="16" t="n">
        <f aca="false">(((((('Income Statement'!$D$8*(1+$A20))*C$16)-(('Income Statement'!$D$8*(1+$A20))*(Assumptions!$E$16+Assumptions!$E$17)))+(('Income Statement'!$D$8*(1+$A20))*Assumptions!$E$18))-((((('Income Statement'!$D$8*(1+$A20))*C$16)-(('Income Statement'!$D$8*(1+$A20))*(Assumptions!$E$16+Assumptions!$E$17)))+(('Income Statement'!$D$8*(1+$A20))*Assumptions!$E$18))*Assumptions!$E$19))+(('Income Statement'!$D$8*(1+$A20))*Assumptions!$E$35)+(('Income Statement'!$D$8*(1+$A20))*Assumptions!$E$36)+(-((('Income Statement'!$D$8*(1+$A20))/365*Assumptions!$B$22)-'Balance Sheet'!$D$9))+(-((('Income Statement'!$D$8*(1+$A20))*Assumptions!$B$25)-'Balance Sheet'!$D$10))+(-(((('Income Statement'!$D$8*(1+$A20))*(1-C$16))/365*Assumptions!$B$23)-'Balance Sheet'!$D$11))+(-((('Income Statement'!$D$8*(1+$A20))*(Assumptions!$B$26+Assumptions!$B$27))-('Balance Sheet'!$D$12+'Balance Sheet'!$D$18)))+(((('Income Statement'!$D$8*(1+$A20))*(1-C$16))/365*Assumptions!$B$24)-'Balance Sheet'!$D$24)+((('Income Statement'!$D$8*(1+$A20))*(Assumptions!$B$28+Assumptions!$B$29+Assumptions!$B$30))-('Balance Sheet'!$D$25+'Balance Sheet'!$D$26+'Balance Sheet'!$D$33)))-(('Income Statement'!$D$8*(1+$A20))*Assumptions!$E$34)</f>
        <v>133822.83443257</v>
      </c>
      <c r="D20" s="16" t="n">
        <f aca="false">(((((('Income Statement'!$D$8*(1+$A20))*D$16)-(('Income Statement'!$D$8*(1+$A20))*(Assumptions!$E$16+Assumptions!$E$17)))+(('Income Statement'!$D$8*(1+$A20))*Assumptions!$E$18))-((((('Income Statement'!$D$8*(1+$A20))*D$16)-(('Income Statement'!$D$8*(1+$A20))*(Assumptions!$E$16+Assumptions!$E$17)))+(('Income Statement'!$D$8*(1+$A20))*Assumptions!$E$18))*Assumptions!$E$19))+(('Income Statement'!$D$8*(1+$A20))*Assumptions!$E$35)+(('Income Statement'!$D$8*(1+$A20))*Assumptions!$E$36)+(-((('Income Statement'!$D$8*(1+$A20))/365*Assumptions!$B$22)-'Balance Sheet'!$D$9))+(-((('Income Statement'!$D$8*(1+$A20))*Assumptions!$B$25)-'Balance Sheet'!$D$10))+(-(((('Income Statement'!$D$8*(1+$A20))*(1-D$16))/365*Assumptions!$B$23)-'Balance Sheet'!$D$11))+(-((('Income Statement'!$D$8*(1+$A20))*(Assumptions!$B$26+Assumptions!$B$27))-('Balance Sheet'!$D$12+'Balance Sheet'!$D$18)))+(((('Income Statement'!$D$8*(1+$A20))*(1-D$16))/365*Assumptions!$B$24)-'Balance Sheet'!$D$24)+((('Income Statement'!$D$8*(1+$A20))*(Assumptions!$B$28+Assumptions!$B$29+Assumptions!$B$30))-('Balance Sheet'!$D$25+'Balance Sheet'!$D$26+'Balance Sheet'!$D$33)))-(('Income Statement'!$D$8*(1+$A20))*Assumptions!$E$34)</f>
        <v>136317.611311693</v>
      </c>
      <c r="E20" s="16" t="n">
        <f aca="false">(((((('Income Statement'!$D$8*(1+$A20))*E$16)-(('Income Statement'!$D$8*(1+$A20))*(Assumptions!$E$16+Assumptions!$E$17)))+(('Income Statement'!$D$8*(1+$A20))*Assumptions!$E$18))-((((('Income Statement'!$D$8*(1+$A20))*E$16)-(('Income Statement'!$D$8*(1+$A20))*(Assumptions!$E$16+Assumptions!$E$17)))+(('Income Statement'!$D$8*(1+$A20))*Assumptions!$E$18))*Assumptions!$E$19))+(('Income Statement'!$D$8*(1+$A20))*Assumptions!$E$35)+(('Income Statement'!$D$8*(1+$A20))*Assumptions!$E$36)+(-((('Income Statement'!$D$8*(1+$A20))/365*Assumptions!$B$22)-'Balance Sheet'!$D$9))+(-((('Income Statement'!$D$8*(1+$A20))*Assumptions!$B$25)-'Balance Sheet'!$D$10))+(-(((('Income Statement'!$D$8*(1+$A20))*(1-E$16))/365*Assumptions!$B$23)-'Balance Sheet'!$D$11))+(-((('Income Statement'!$D$8*(1+$A20))*(Assumptions!$B$26+Assumptions!$B$27))-('Balance Sheet'!$D$12+'Balance Sheet'!$D$18)))+(((('Income Statement'!$D$8*(1+$A20))*(1-E$16))/365*Assumptions!$B$24)-'Balance Sheet'!$D$24)+((('Income Statement'!$D$8*(1+$A20))*(Assumptions!$B$28+Assumptions!$B$29+Assumptions!$B$30))-('Balance Sheet'!$D$25+'Balance Sheet'!$D$26+'Balance Sheet'!$D$33)))-(('Income Statement'!$D$8*(1+$A20))*Assumptions!$E$34)</f>
        <v>136816.566687518</v>
      </c>
      <c r="F20" s="16" t="n">
        <f aca="false">(((((('Income Statement'!$D$8*(1+$A20))*F$16)-(('Income Statement'!$D$8*(1+$A20))*(Assumptions!$E$16+Assumptions!$E$17)))+(('Income Statement'!$D$8*(1+$A20))*Assumptions!$E$18))-((((('Income Statement'!$D$8*(1+$A20))*F$16)-(('Income Statement'!$D$8*(1+$A20))*(Assumptions!$E$16+Assumptions!$E$17)))+(('Income Statement'!$D$8*(1+$A20))*Assumptions!$E$18))*Assumptions!$E$19))+(('Income Statement'!$D$8*(1+$A20))*Assumptions!$E$35)+(('Income Statement'!$D$8*(1+$A20))*Assumptions!$E$36)+(-((('Income Statement'!$D$8*(1+$A20))/365*Assumptions!$B$22)-'Balance Sheet'!$D$9))+(-((('Income Statement'!$D$8*(1+$A20))*Assumptions!$B$25)-'Balance Sheet'!$D$10))+(-(((('Income Statement'!$D$8*(1+$A20))*(1-F$16))/365*Assumptions!$B$23)-'Balance Sheet'!$D$11))+(-((('Income Statement'!$D$8*(1+$A20))*(Assumptions!$B$26+Assumptions!$B$27))-('Balance Sheet'!$D$12+'Balance Sheet'!$D$18)))+(((('Income Statement'!$D$8*(1+$A20))*(1-F$16))/365*Assumptions!$B$24)-'Balance Sheet'!$D$24)+((('Income Statement'!$D$8*(1+$A20))*(Assumptions!$B$28+Assumptions!$B$29+Assumptions!$B$30))-('Balance Sheet'!$D$25+'Balance Sheet'!$D$26+'Balance Sheet'!$D$33)))-(('Income Statement'!$D$8*(1+$A20))*Assumptions!$E$34)</f>
        <v>138812.388190816</v>
      </c>
      <c r="G20" s="16" t="n">
        <f aca="false">(((((('Income Statement'!$D$8*(1+$A20))*G$16)-(('Income Statement'!$D$8*(1+$A20))*(Assumptions!$E$16+Assumptions!$E$17)))+(('Income Statement'!$D$8*(1+$A20))*Assumptions!$E$18))-((((('Income Statement'!$D$8*(1+$A20))*G$16)-(('Income Statement'!$D$8*(1+$A20))*(Assumptions!$E$16+Assumptions!$E$17)))+(('Income Statement'!$D$8*(1+$A20))*Assumptions!$E$18))*Assumptions!$E$19))+(('Income Statement'!$D$8*(1+$A20))*Assumptions!$E$35)+(('Income Statement'!$D$8*(1+$A20))*Assumptions!$E$36)+(-((('Income Statement'!$D$8*(1+$A20))/365*Assumptions!$B$22)-'Balance Sheet'!$D$9))+(-((('Income Statement'!$D$8*(1+$A20))*Assumptions!$B$25)-'Balance Sheet'!$D$10))+(-(((('Income Statement'!$D$8*(1+$A20))*(1-G$16))/365*Assumptions!$B$23)-'Balance Sheet'!$D$11))+(-((('Income Statement'!$D$8*(1+$A20))*(Assumptions!$B$26+Assumptions!$B$27))-('Balance Sheet'!$D$12+'Balance Sheet'!$D$18)))+(((('Income Statement'!$D$8*(1+$A20))*(1-G$16))/365*Assumptions!$B$24)-'Balance Sheet'!$D$24)+((('Income Statement'!$D$8*(1+$A20))*(Assumptions!$B$28+Assumptions!$B$29+Assumptions!$B$30))-('Balance Sheet'!$D$25+'Balance Sheet'!$D$26+'Balance Sheet'!$D$33)))-(('Income Statement'!$D$8*(1+$A20))*Assumptions!$E$34)</f>
        <v>141307.16506994</v>
      </c>
    </row>
    <row r="21" customFormat="false" ht="15" hidden="false" customHeight="false" outlineLevel="0" collapsed="false">
      <c r="A21" s="32" t="n">
        <v>0.12</v>
      </c>
      <c r="B21" s="16" t="n">
        <f aca="false">(((((('Income Statement'!$D$8*(1+$A21))*B$16)-(('Income Statement'!$D$8*(1+$A21))*(Assumptions!$E$16+Assumptions!$E$17)))+(('Income Statement'!$D$8*(1+$A21))*Assumptions!$E$18))-((((('Income Statement'!$D$8*(1+$A21))*B$16)-(('Income Statement'!$D$8*(1+$A21))*(Assumptions!$E$16+Assumptions!$E$17)))+(('Income Statement'!$D$8*(1+$A21))*Assumptions!$E$18))*Assumptions!$E$19))+(('Income Statement'!$D$8*(1+$A21))*Assumptions!$E$35)+(('Income Statement'!$D$8*(1+$A21))*Assumptions!$E$36)+(-((('Income Statement'!$D$8*(1+$A21))/365*Assumptions!$B$22)-'Balance Sheet'!$D$9))+(-((('Income Statement'!$D$8*(1+$A21))*Assumptions!$B$25)-'Balance Sheet'!$D$10))+(-(((('Income Statement'!$D$8*(1+$A21))*(1-B$16))/365*Assumptions!$B$23)-'Balance Sheet'!$D$11))+(-((('Income Statement'!$D$8*(1+$A21))*(Assumptions!$B$26+Assumptions!$B$27))-('Balance Sheet'!$D$12+'Balance Sheet'!$D$18)))+(((('Income Statement'!$D$8*(1+$A21))*(1-B$16))/365*Assumptions!$B$24)-'Balance Sheet'!$D$24)+((('Income Statement'!$D$8*(1+$A21))*(Assumptions!$B$28+Assumptions!$B$29+Assumptions!$B$30))-('Balance Sheet'!$D$25+'Balance Sheet'!$D$26+'Balance Sheet'!$D$33)))-(('Income Statement'!$D$8*(1+$A21))*Assumptions!$E$34)</f>
        <v>136557.393018389</v>
      </c>
      <c r="C21" s="16" t="n">
        <f aca="false">(((((('Income Statement'!$D$8*(1+$A21))*C$16)-(('Income Statement'!$D$8*(1+$A21))*(Assumptions!$E$16+Assumptions!$E$17)))+(('Income Statement'!$D$8*(1+$A21))*Assumptions!$E$18))-((((('Income Statement'!$D$8*(1+$A21))*C$16)-(('Income Statement'!$D$8*(1+$A21))*(Assumptions!$E$16+Assumptions!$E$17)))+(('Income Statement'!$D$8*(1+$A21))*Assumptions!$E$18))*Assumptions!$E$19))+(('Income Statement'!$D$8*(1+$A21))*Assumptions!$E$35)+(('Income Statement'!$D$8*(1+$A21))*Assumptions!$E$36)+(-((('Income Statement'!$D$8*(1+$A21))/365*Assumptions!$B$22)-'Balance Sheet'!$D$9))+(-((('Income Statement'!$D$8*(1+$A21))*Assumptions!$B$25)-'Balance Sheet'!$D$10))+(-(((('Income Statement'!$D$8*(1+$A21))*(1-C$16))/365*Assumptions!$B$23)-'Balance Sheet'!$D$11))+(-((('Income Statement'!$D$8*(1+$A21))*(Assumptions!$B$26+Assumptions!$B$27))-('Balance Sheet'!$D$12+'Balance Sheet'!$D$18)))+(((('Income Statement'!$D$8*(1+$A21))*(1-C$16))/365*Assumptions!$B$24)-'Balance Sheet'!$D$24)+((('Income Statement'!$D$8*(1+$A21))*(Assumptions!$B$28+Assumptions!$B$29+Assumptions!$B$30))-('Balance Sheet'!$D$25+'Balance Sheet'!$D$26+'Balance Sheet'!$D$33)))-(('Income Statement'!$D$8*(1+$A21))*Assumptions!$E$34)</f>
        <v>139144.569041184</v>
      </c>
      <c r="D21" s="16" t="n">
        <f aca="false">(((((('Income Statement'!$D$8*(1+$A21))*D$16)-(('Income Statement'!$D$8*(1+$A21))*(Assumptions!$E$16+Assumptions!$E$17)))+(('Income Statement'!$D$8*(1+$A21))*Assumptions!$E$18))-((((('Income Statement'!$D$8*(1+$A21))*D$16)-(('Income Statement'!$D$8*(1+$A21))*(Assumptions!$E$16+Assumptions!$E$17)))+(('Income Statement'!$D$8*(1+$A21))*Assumptions!$E$18))*Assumptions!$E$19))+(('Income Statement'!$D$8*(1+$A21))*Assumptions!$E$35)+(('Income Statement'!$D$8*(1+$A21))*Assumptions!$E$36)+(-((('Income Statement'!$D$8*(1+$A21))/365*Assumptions!$B$22)-'Balance Sheet'!$D$9))+(-((('Income Statement'!$D$8*(1+$A21))*Assumptions!$B$25)-'Balance Sheet'!$D$10))+(-(((('Income Statement'!$D$8*(1+$A21))*(1-D$16))/365*Assumptions!$B$23)-'Balance Sheet'!$D$11))+(-((('Income Statement'!$D$8*(1+$A21))*(Assumptions!$B$26+Assumptions!$B$27))-('Balance Sheet'!$D$12+'Balance Sheet'!$D$18)))+(((('Income Statement'!$D$8*(1+$A21))*(1-D$16))/365*Assumptions!$B$24)-'Balance Sheet'!$D$24)+((('Income Statement'!$D$8*(1+$A21))*(Assumptions!$B$28+Assumptions!$B$29+Assumptions!$B$30))-('Balance Sheet'!$D$25+'Balance Sheet'!$D$26+'Balance Sheet'!$D$33)))-(('Income Statement'!$D$8*(1+$A21))*Assumptions!$E$34)</f>
        <v>141731.745063978</v>
      </c>
      <c r="E21" s="16" t="n">
        <f aca="false">(((((('Income Statement'!$D$8*(1+$A21))*E$16)-(('Income Statement'!$D$8*(1+$A21))*(Assumptions!$E$16+Assumptions!$E$17)))+(('Income Statement'!$D$8*(1+$A21))*Assumptions!$E$18))-((((('Income Statement'!$D$8*(1+$A21))*E$16)-(('Income Statement'!$D$8*(1+$A21))*(Assumptions!$E$16+Assumptions!$E$17)))+(('Income Statement'!$D$8*(1+$A21))*Assumptions!$E$18))*Assumptions!$E$19))+(('Income Statement'!$D$8*(1+$A21))*Assumptions!$E$35)+(('Income Statement'!$D$8*(1+$A21))*Assumptions!$E$36)+(-((('Income Statement'!$D$8*(1+$A21))/365*Assumptions!$B$22)-'Balance Sheet'!$D$9))+(-((('Income Statement'!$D$8*(1+$A21))*Assumptions!$B$25)-'Balance Sheet'!$D$10))+(-(((('Income Statement'!$D$8*(1+$A21))*(1-E$16))/365*Assumptions!$B$23)-'Balance Sheet'!$D$11))+(-((('Income Statement'!$D$8*(1+$A21))*(Assumptions!$B$26+Assumptions!$B$27))-('Balance Sheet'!$D$12+'Balance Sheet'!$D$18)))+(((('Income Statement'!$D$8*(1+$A21))*(1-E$16))/365*Assumptions!$B$24)-'Balance Sheet'!$D$24)+((('Income Statement'!$D$8*(1+$A21))*(Assumptions!$B$28+Assumptions!$B$29+Assumptions!$B$30))-('Balance Sheet'!$D$25+'Balance Sheet'!$D$26+'Balance Sheet'!$D$33)))-(('Income Statement'!$D$8*(1+$A21))*Assumptions!$E$34)</f>
        <v>142249.180268537</v>
      </c>
      <c r="F21" s="16" t="n">
        <f aca="false">(((((('Income Statement'!$D$8*(1+$A21))*F$16)-(('Income Statement'!$D$8*(1+$A21))*(Assumptions!$E$16+Assumptions!$E$17)))+(('Income Statement'!$D$8*(1+$A21))*Assumptions!$E$18))-((((('Income Statement'!$D$8*(1+$A21))*F$16)-(('Income Statement'!$D$8*(1+$A21))*(Assumptions!$E$16+Assumptions!$E$17)))+(('Income Statement'!$D$8*(1+$A21))*Assumptions!$E$18))*Assumptions!$E$19))+(('Income Statement'!$D$8*(1+$A21))*Assumptions!$E$35)+(('Income Statement'!$D$8*(1+$A21))*Assumptions!$E$36)+(-((('Income Statement'!$D$8*(1+$A21))/365*Assumptions!$B$22)-'Balance Sheet'!$D$9))+(-((('Income Statement'!$D$8*(1+$A21))*Assumptions!$B$25)-'Balance Sheet'!$D$10))+(-(((('Income Statement'!$D$8*(1+$A21))*(1-F$16))/365*Assumptions!$B$23)-'Balance Sheet'!$D$11))+(-((('Income Statement'!$D$8*(1+$A21))*(Assumptions!$B$26+Assumptions!$B$27))-('Balance Sheet'!$D$12+'Balance Sheet'!$D$18)))+(((('Income Statement'!$D$8*(1+$A21))*(1-F$16))/365*Assumptions!$B$24)-'Balance Sheet'!$D$24)+((('Income Statement'!$D$8*(1+$A21))*(Assumptions!$B$28+Assumptions!$B$29+Assumptions!$B$30))-('Balance Sheet'!$D$25+'Balance Sheet'!$D$26+'Balance Sheet'!$D$33)))-(('Income Statement'!$D$8*(1+$A21))*Assumptions!$E$34)</f>
        <v>144318.921086773</v>
      </c>
      <c r="G21" s="16" t="n">
        <f aca="false">(((((('Income Statement'!$D$8*(1+$A21))*G$16)-(('Income Statement'!$D$8*(1+$A21))*(Assumptions!$E$16+Assumptions!$E$17)))+(('Income Statement'!$D$8*(1+$A21))*Assumptions!$E$18))-((((('Income Statement'!$D$8*(1+$A21))*G$16)-(('Income Statement'!$D$8*(1+$A21))*(Assumptions!$E$16+Assumptions!$E$17)))+(('Income Statement'!$D$8*(1+$A21))*Assumptions!$E$18))*Assumptions!$E$19))+(('Income Statement'!$D$8*(1+$A21))*Assumptions!$E$35)+(('Income Statement'!$D$8*(1+$A21))*Assumptions!$E$36)+(-((('Income Statement'!$D$8*(1+$A21))/365*Assumptions!$B$22)-'Balance Sheet'!$D$9))+(-((('Income Statement'!$D$8*(1+$A21))*Assumptions!$B$25)-'Balance Sheet'!$D$10))+(-(((('Income Statement'!$D$8*(1+$A21))*(1-G$16))/365*Assumptions!$B$23)-'Balance Sheet'!$D$11))+(-((('Income Statement'!$D$8*(1+$A21))*(Assumptions!$B$26+Assumptions!$B$27))-('Balance Sheet'!$D$12+'Balance Sheet'!$D$18)))+(((('Income Statement'!$D$8*(1+$A21))*(1-G$16))/365*Assumptions!$B$24)-'Balance Sheet'!$D$24)+((('Income Statement'!$D$8*(1+$A21))*(Assumptions!$B$28+Assumptions!$B$29+Assumptions!$B$30))-('Balance Sheet'!$D$25+'Balance Sheet'!$D$26+'Balance Sheet'!$D$33)))-(('Income Statement'!$D$8*(1+$A21))*Assumptions!$E$34)</f>
        <v>146906.097109567</v>
      </c>
    </row>
    <row r="22" customFormat="false" ht="15" hidden="false" customHeight="false" outlineLevel="0" collapsed="false">
      <c r="A22" s="32" t="n">
        <v>0.15</v>
      </c>
      <c r="B22" s="16" t="n">
        <f aca="false">(((((('Income Statement'!$D$8*(1+$A22))*B$16)-(('Income Statement'!$D$8*(1+$A22))*(Assumptions!$E$16+Assumptions!$E$17)))+(('Income Statement'!$D$8*(1+$A22))*Assumptions!$E$18))-((((('Income Statement'!$D$8*(1+$A22))*B$16)-(('Income Statement'!$D$8*(1+$A22))*(Assumptions!$E$16+Assumptions!$E$17)))+(('Income Statement'!$D$8*(1+$A22))*Assumptions!$E$18))*Assumptions!$E$19))+(('Income Statement'!$D$8*(1+$A22))*Assumptions!$E$35)+(('Income Statement'!$D$8*(1+$A22))*Assumptions!$E$36)+(-((('Income Statement'!$D$8*(1+$A22))/365*Assumptions!$B$22)-'Balance Sheet'!$D$9))+(-((('Income Statement'!$D$8*(1+$A22))*Assumptions!$B$25)-'Balance Sheet'!$D$10))+(-(((('Income Statement'!$D$8*(1+$A22))*(1-B$16))/365*Assumptions!$B$23)-'Balance Sheet'!$D$11))+(-((('Income Statement'!$D$8*(1+$A22))*(Assumptions!$B$26+Assumptions!$B$27))-('Balance Sheet'!$D$12+'Balance Sheet'!$D$18)))+(((('Income Statement'!$D$8*(1+$A22))*(1-B$16))/365*Assumptions!$B$24)-'Balance Sheet'!$D$24)+((('Income Statement'!$D$8*(1+$A22))*(Assumptions!$B$28+Assumptions!$B$29+Assumptions!$B$30))-('Balance Sheet'!$D$25+'Balance Sheet'!$D$26+'Balance Sheet'!$D$33)))-(('Income Statement'!$D$8*(1+$A22))*Assumptions!$E$34)</f>
        <v>140479.394617096</v>
      </c>
      <c r="C22" s="16" t="n">
        <f aca="false">(((((('Income Statement'!$D$8*(1+$A22))*C$16)-(('Income Statement'!$D$8*(1+$A22))*(Assumptions!$E$16+Assumptions!$E$17)))+(('Income Statement'!$D$8*(1+$A22))*Assumptions!$E$18))-((((('Income Statement'!$D$8*(1+$A22))*C$16)-(('Income Statement'!$D$8*(1+$A22))*(Assumptions!$E$16+Assumptions!$E$17)))+(('Income Statement'!$D$8*(1+$A22))*Assumptions!$E$18))*Assumptions!$E$19))+(('Income Statement'!$D$8*(1+$A22))*Assumptions!$E$35)+(('Income Statement'!$D$8*(1+$A22))*Assumptions!$E$36)+(-((('Income Statement'!$D$8*(1+$A22))/365*Assumptions!$B$22)-'Balance Sheet'!$D$9))+(-((('Income Statement'!$D$8*(1+$A22))*Assumptions!$B$25)-'Balance Sheet'!$D$10))+(-(((('Income Statement'!$D$8*(1+$A22))*(1-C$16))/365*Assumptions!$B$23)-'Balance Sheet'!$D$11))+(-((('Income Statement'!$D$8*(1+$A22))*(Assumptions!$B$26+Assumptions!$B$27))-('Balance Sheet'!$D$12+'Balance Sheet'!$D$18)))+(((('Income Statement'!$D$8*(1+$A22))*(1-C$16))/365*Assumptions!$B$24)-'Balance Sheet'!$D$24)+((('Income Statement'!$D$8*(1+$A22))*(Assumptions!$B$28+Assumptions!$B$29+Assumptions!$B$30))-('Balance Sheet'!$D$25+'Balance Sheet'!$D$26+'Balance Sheet'!$D$33)))-(('Income Statement'!$D$8*(1+$A22))*Assumptions!$E$34)</f>
        <v>143135.869997644</v>
      </c>
      <c r="D22" s="16" t="n">
        <f aca="false">(((((('Income Statement'!$D$8*(1+$A22))*D$16)-(('Income Statement'!$D$8*(1+$A22))*(Assumptions!$E$16+Assumptions!$E$17)))+(('Income Statement'!$D$8*(1+$A22))*Assumptions!$E$18))-((((('Income Statement'!$D$8*(1+$A22))*D$16)-(('Income Statement'!$D$8*(1+$A22))*(Assumptions!$E$16+Assumptions!$E$17)))+(('Income Statement'!$D$8*(1+$A22))*Assumptions!$E$18))*Assumptions!$E$19))+(('Income Statement'!$D$8*(1+$A22))*Assumptions!$E$35)+(('Income Statement'!$D$8*(1+$A22))*Assumptions!$E$36)+(-((('Income Statement'!$D$8*(1+$A22))/365*Assumptions!$B$22)-'Balance Sheet'!$D$9))+(-((('Income Statement'!$D$8*(1+$A22))*Assumptions!$B$25)-'Balance Sheet'!$D$10))+(-(((('Income Statement'!$D$8*(1+$A22))*(1-D$16))/365*Assumptions!$B$23)-'Balance Sheet'!$D$11))+(-((('Income Statement'!$D$8*(1+$A22))*(Assumptions!$B$26+Assumptions!$B$27))-('Balance Sheet'!$D$12+'Balance Sheet'!$D$18)))+(((('Income Statement'!$D$8*(1+$A22))*(1-D$16))/365*Assumptions!$B$24)-'Balance Sheet'!$D$24)+((('Income Statement'!$D$8*(1+$A22))*(Assumptions!$B$28+Assumptions!$B$29+Assumptions!$B$30))-('Balance Sheet'!$D$25+'Balance Sheet'!$D$26+'Balance Sheet'!$D$33)))-(('Income Statement'!$D$8*(1+$A22))*Assumptions!$E$34)</f>
        <v>145792.345378192</v>
      </c>
      <c r="E22" s="16" t="n">
        <f aca="false">(((((('Income Statement'!$D$8*(1+$A22))*E$16)-(('Income Statement'!$D$8*(1+$A22))*(Assumptions!$E$16+Assumptions!$E$17)))+(('Income Statement'!$D$8*(1+$A22))*Assumptions!$E$18))-((((('Income Statement'!$D$8*(1+$A22))*E$16)-(('Income Statement'!$D$8*(1+$A22))*(Assumptions!$E$16+Assumptions!$E$17)))+(('Income Statement'!$D$8*(1+$A22))*Assumptions!$E$18))*Assumptions!$E$19))+(('Income Statement'!$D$8*(1+$A22))*Assumptions!$E$35)+(('Income Statement'!$D$8*(1+$A22))*Assumptions!$E$36)+(-((('Income Statement'!$D$8*(1+$A22))/365*Assumptions!$B$22)-'Balance Sheet'!$D$9))+(-((('Income Statement'!$D$8*(1+$A22))*Assumptions!$B$25)-'Balance Sheet'!$D$10))+(-(((('Income Statement'!$D$8*(1+$A22))*(1-E$16))/365*Assumptions!$B$23)-'Balance Sheet'!$D$11))+(-((('Income Statement'!$D$8*(1+$A22))*(Assumptions!$B$26+Assumptions!$B$27))-('Balance Sheet'!$D$12+'Balance Sheet'!$D$18)))+(((('Income Statement'!$D$8*(1+$A22))*(1-E$16))/365*Assumptions!$B$24)-'Balance Sheet'!$D$24)+((('Income Statement'!$D$8*(1+$A22))*(Assumptions!$B$28+Assumptions!$B$29+Assumptions!$B$30))-('Balance Sheet'!$D$25+'Balance Sheet'!$D$26+'Balance Sheet'!$D$33)))-(('Income Statement'!$D$8*(1+$A22))*Assumptions!$E$34)</f>
        <v>146323.640454301</v>
      </c>
      <c r="F22" s="16" t="n">
        <f aca="false">(((((('Income Statement'!$D$8*(1+$A22))*F$16)-(('Income Statement'!$D$8*(1+$A22))*(Assumptions!$E$16+Assumptions!$E$17)))+(('Income Statement'!$D$8*(1+$A22))*Assumptions!$E$18))-((((('Income Statement'!$D$8*(1+$A22))*F$16)-(('Income Statement'!$D$8*(1+$A22))*(Assumptions!$E$16+Assumptions!$E$17)))+(('Income Statement'!$D$8*(1+$A22))*Assumptions!$E$18))*Assumptions!$E$19))+(('Income Statement'!$D$8*(1+$A22))*Assumptions!$E$35)+(('Income Statement'!$D$8*(1+$A22))*Assumptions!$E$36)+(-((('Income Statement'!$D$8*(1+$A22))/365*Assumptions!$B$22)-'Balance Sheet'!$D$9))+(-((('Income Statement'!$D$8*(1+$A22))*Assumptions!$B$25)-'Balance Sheet'!$D$10))+(-(((('Income Statement'!$D$8*(1+$A22))*(1-F$16))/365*Assumptions!$B$23)-'Balance Sheet'!$D$11))+(-((('Income Statement'!$D$8*(1+$A22))*(Assumptions!$B$26+Assumptions!$B$27))-('Balance Sheet'!$D$12+'Balance Sheet'!$D$18)))+(((('Income Statement'!$D$8*(1+$A22))*(1-F$16))/365*Assumptions!$B$24)-'Balance Sheet'!$D$24)+((('Income Statement'!$D$8*(1+$A22))*(Assumptions!$B$28+Assumptions!$B$29+Assumptions!$B$30))-('Balance Sheet'!$D$25+'Balance Sheet'!$D$26+'Balance Sheet'!$D$33)))-(('Income Statement'!$D$8*(1+$A22))*Assumptions!$E$34)</f>
        <v>148448.82075874</v>
      </c>
      <c r="G22" s="16" t="n">
        <f aca="false">(((((('Income Statement'!$D$8*(1+$A22))*G$16)-(('Income Statement'!$D$8*(1+$A22))*(Assumptions!$E$16+Assumptions!$E$17)))+(('Income Statement'!$D$8*(1+$A22))*Assumptions!$E$18))-((((('Income Statement'!$D$8*(1+$A22))*G$16)-(('Income Statement'!$D$8*(1+$A22))*(Assumptions!$E$16+Assumptions!$E$17)))+(('Income Statement'!$D$8*(1+$A22))*Assumptions!$E$18))*Assumptions!$E$19))+(('Income Statement'!$D$8*(1+$A22))*Assumptions!$E$35)+(('Income Statement'!$D$8*(1+$A22))*Assumptions!$E$36)+(-((('Income Statement'!$D$8*(1+$A22))/365*Assumptions!$B$22)-'Balance Sheet'!$D$9))+(-((('Income Statement'!$D$8*(1+$A22))*Assumptions!$B$25)-'Balance Sheet'!$D$10))+(-(((('Income Statement'!$D$8*(1+$A22))*(1-G$16))/365*Assumptions!$B$23)-'Balance Sheet'!$D$11))+(-((('Income Statement'!$D$8*(1+$A22))*(Assumptions!$B$26+Assumptions!$B$27))-('Balance Sheet'!$D$12+'Balance Sheet'!$D$18)))+(((('Income Statement'!$D$8*(1+$A22))*(1-G$16))/365*Assumptions!$B$24)-'Balance Sheet'!$D$24)+((('Income Statement'!$D$8*(1+$A22))*(Assumptions!$B$28+Assumptions!$B$29+Assumptions!$B$30))-('Balance Sheet'!$D$25+'Balance Sheet'!$D$26+'Balance Sheet'!$D$33)))-(('Income Statement'!$D$8*(1+$A22))*Assumptions!$E$34)</f>
        <v>151105.296139288</v>
      </c>
    </row>
    <row r="25" customFormat="false" ht="30" hidden="false" customHeight="true" outlineLevel="0" collapsed="false">
      <c r="A25" s="2" t="s">
        <v>179</v>
      </c>
      <c r="B25" s="2"/>
      <c r="C25" s="2"/>
      <c r="D25" s="2"/>
      <c r="E25" s="2"/>
      <c r="F25" s="2"/>
      <c r="G25" s="2"/>
    </row>
  </sheetData>
  <mergeCells count="3">
    <mergeCell ref="A1:I1"/>
    <mergeCell ref="A2:I2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2026-06-25T08:20:51Z</dcterms:created>
  <dc:creator>openpyxl</dc:creator>
  <dc:description/>
  <dc:language>en-US</dc:language>
  <cp:lastModifiedBy/>
  <dcterms:modified xsi:type="dcterms:W3CDTF">2026-06-25T08:20:51Z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